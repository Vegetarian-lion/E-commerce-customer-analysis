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0" documentId="8_{F3534F22-4D09-4845-87E6-5CA3F04D0915}" xr6:coauthVersionLast="47" xr6:coauthVersionMax="47" xr10:uidLastSave="{00000000-0000-0000-0000-000000000000}"/>
  <bookViews>
    <workbookView xWindow="0" yWindow="0" windowWidth="0" windowHeight="0" firstSheet="3" activeTab="4" xr2:uid="{00000000-000D-0000-FFFF-FFFF00000000}"/>
  </bookViews>
  <sheets>
    <sheet name="Raw Data" sheetId="1" r:id="rId1"/>
    <sheet name="Project Roadmap" sheetId="2" r:id="rId2"/>
    <sheet name="Cleaned Data" sheetId="4" r:id="rId3"/>
    <sheet name="Analysis" sheetId="5" r:id="rId4"/>
    <sheet name="Dashboard" sheetId="6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6" l="1"/>
  <c r="E2" i="6"/>
  <c r="D2" i="6"/>
  <c r="C2" i="6"/>
  <c r="B2" i="6"/>
  <c r="A2" i="6"/>
  <c r="K15" i="5"/>
  <c r="K16" i="5"/>
  <c r="K17" i="5"/>
  <c r="K18" i="5"/>
  <c r="K19" i="5"/>
  <c r="K20" i="5"/>
  <c r="J15" i="5"/>
  <c r="J16" i="5"/>
  <c r="J17" i="5"/>
  <c r="J18" i="5"/>
  <c r="J19" i="5"/>
  <c r="J20" i="5"/>
  <c r="I15" i="5"/>
  <c r="I16" i="5"/>
  <c r="I17" i="5"/>
  <c r="I18" i="5"/>
  <c r="I19" i="5"/>
  <c r="I20" i="5"/>
  <c r="K14" i="5"/>
  <c r="J14" i="5"/>
  <c r="I14" i="5"/>
  <c r="B23" i="5"/>
  <c r="B22" i="5"/>
  <c r="F15" i="5"/>
  <c r="F16" i="5"/>
  <c r="F17" i="5"/>
  <c r="F18" i="5"/>
  <c r="F14" i="5"/>
  <c r="E15" i="5"/>
  <c r="E16" i="5"/>
  <c r="E17" i="5"/>
  <c r="E18" i="5"/>
  <c r="E14" i="5"/>
  <c r="B15" i="5"/>
  <c r="B16" i="5"/>
  <c r="B17" i="5"/>
  <c r="B18" i="5"/>
  <c r="D15" i="5"/>
  <c r="D16" i="5"/>
  <c r="D17" i="5"/>
  <c r="D18" i="5"/>
  <c r="D14" i="5"/>
  <c r="C15" i="5"/>
  <c r="C16" i="5"/>
  <c r="C17" i="5"/>
  <c r="C18" i="5"/>
  <c r="C14" i="5"/>
  <c r="B14" i="5"/>
  <c r="B10" i="5"/>
  <c r="B9" i="5"/>
  <c r="B8" i="5"/>
  <c r="B7" i="5"/>
  <c r="B6" i="5"/>
  <c r="B5" i="5"/>
  <c r="B4" i="5"/>
  <c r="U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P292" i="4"/>
  <c r="P293" i="4"/>
  <c r="P294" i="4"/>
  <c r="P295" i="4"/>
  <c r="P296" i="4"/>
  <c r="P297" i="4"/>
  <c r="P298" i="4"/>
  <c r="P299" i="4"/>
  <c r="P300" i="4"/>
  <c r="P301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" i="4"/>
</calcChain>
</file>

<file path=xl/sharedStrings.xml><?xml version="1.0" encoding="utf-8"?>
<sst xmlns="http://schemas.openxmlformats.org/spreadsheetml/2006/main" count="4321" uniqueCount="389">
  <si>
    <t>E-Commerce Customer Experience Analytics — Raw Dataset</t>
  </si>
  <si>
    <t>300+ realistic order records. Three intentional duplicate rows are included so data cleaning can be demonstrated.</t>
  </si>
  <si>
    <t>Order ID</t>
  </si>
  <si>
    <t>Order Date</t>
  </si>
  <si>
    <t>Category</t>
  </si>
  <si>
    <t>City</t>
  </si>
  <si>
    <t>Customer Age</t>
  </si>
  <si>
    <t>Order Value (₹)</t>
  </si>
  <si>
    <t>Discount (%)</t>
  </si>
  <si>
    <t>Expected Days</t>
  </si>
  <si>
    <t>Actual Days</t>
  </si>
  <si>
    <t>Payment Method</t>
  </si>
  <si>
    <t>Rating</t>
  </si>
  <si>
    <t>Cancelled</t>
  </si>
  <si>
    <t>Returned</t>
  </si>
  <si>
    <t>Distance (KM)</t>
  </si>
  <si>
    <t>Customer Type</t>
  </si>
  <si>
    <t>O0001</t>
  </si>
  <si>
    <t>Electronics</t>
  </si>
  <si>
    <t>Bengaluru</t>
  </si>
  <si>
    <t>Net Banking</t>
  </si>
  <si>
    <t>No</t>
  </si>
  <si>
    <t>Returning</t>
  </si>
  <si>
    <t>O0002</t>
  </si>
  <si>
    <t>Fashion</t>
  </si>
  <si>
    <t>Hyderabad</t>
  </si>
  <si>
    <t>UPI</t>
  </si>
  <si>
    <t>New</t>
  </si>
  <si>
    <t>O0003</t>
  </si>
  <si>
    <t>Delhi</t>
  </si>
  <si>
    <t>Debit Card</t>
  </si>
  <si>
    <t>O0004</t>
  </si>
  <si>
    <t>Pune</t>
  </si>
  <si>
    <t>Credit Card</t>
  </si>
  <si>
    <t>O0005</t>
  </si>
  <si>
    <t>Grocery</t>
  </si>
  <si>
    <t>Mumbai</t>
  </si>
  <si>
    <t>O0006</t>
  </si>
  <si>
    <t>Kolkata</t>
  </si>
  <si>
    <t>Cash on Delivery</t>
  </si>
  <si>
    <t>O0007</t>
  </si>
  <si>
    <t>Home &amp; Kitchen</t>
  </si>
  <si>
    <t>O0008</t>
  </si>
  <si>
    <t>O0009</t>
  </si>
  <si>
    <t>O0010</t>
  </si>
  <si>
    <t>O0011</t>
  </si>
  <si>
    <t>O0012</t>
  </si>
  <si>
    <t>Chennai</t>
  </si>
  <si>
    <t>O0013</t>
  </si>
  <si>
    <t>O0014</t>
  </si>
  <si>
    <t>O0015</t>
  </si>
  <si>
    <t>O0016</t>
  </si>
  <si>
    <t>O0017</t>
  </si>
  <si>
    <t>O0018</t>
  </si>
  <si>
    <t>O0019</t>
  </si>
  <si>
    <t>Beauty</t>
  </si>
  <si>
    <t>Yes</t>
  </si>
  <si>
    <t>O0020</t>
  </si>
  <si>
    <t>O0021</t>
  </si>
  <si>
    <t>VIP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</si>
  <si>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</si>
  <si>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</si>
  <si>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</si>
  <si>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</si>
  <si>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</si>
  <si>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</si>
  <si>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</si>
  <si>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</si>
  <si>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</si>
  <si>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</si>
  <si>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</si>
  <si>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</si>
  <si>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</si>
  <si>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</si>
  <si>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</si>
  <si>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</si>
  <si>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</si>
  <si>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</si>
  <si>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</si>
  <si>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</si>
  <si>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</si>
  <si>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</si>
  <si>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</si>
  <si>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</si>
  <si>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</si>
  <si>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</si>
  <si>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</si>
  <si>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</si>
  <si>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</si>
  <si>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</si>
  <si>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</si>
  <si>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</si>
  <si>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</si>
  <si>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</si>
  <si>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</si>
  <si>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</si>
  <si>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</si>
  <si>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</si>
  <si>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</si>
  <si>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</si>
  <si>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</si>
  <si>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</si>
  <si>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</si>
  <si>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</si>
  <si>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</si>
  <si>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</si>
  <si>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</si>
  <si>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</si>
  <si>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</si>
  <si>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</si>
  <si>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</si>
  <si>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</si>
  <si>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</si>
  <si>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</si>
  <si>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</si>
  <si>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</si>
  <si>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</si>
  <si>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</si>
  <si>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</si>
  <si>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</si>
  <si>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</si>
  <si>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</si>
  <si>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</si>
  <si>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</si>
  <si>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</si>
  <si>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</si>
  <si>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</si>
  <si>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</si>
  <si>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</si>
  <si>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</si>
  <si>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</si>
  <si>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</si>
  <si>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</si>
  <si>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</si>
  <si>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</si>
  <si>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</si>
  <si>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</si>
  <si>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</si>
  <si>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</si>
  <si>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</si>
  <si>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</si>
  <si>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</si>
  <si>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</si>
  <si>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</si>
  <si>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</si>
  <si>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</si>
  <si>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</si>
  <si>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</si>
  <si>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</si>
  <si>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</si>
  <si>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</si>
  <si>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</si>
  <si>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</si>
  <si>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</si>
  <si>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</si>
  <si>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</si>
  <si>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</si>
  <si>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</si>
  <si>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</si>
  <si>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</si>
  <si>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</si>
  <si>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</si>
  <si>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</si>
  <si>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</si>
  <si>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</si>
  <si>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</si>
  <si>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</si>
  <si>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</si>
  <si>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</si>
  <si>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</si>
  <si>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</si>
  <si>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</si>
  <si>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</si>
  <si>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</si>
  <si>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</si>
  <si>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</si>
  <si>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</si>
  <si>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</si>
  <si>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</si>
  <si>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</si>
  <si>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</si>
  <si>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</si>
  <si>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</si>
  <si>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</si>
  <si>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</si>
  <si>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</si>
  <si>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</si>
  <si>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</si>
  <si>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</si>
  <si>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</si>
  <si>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</si>
  <si>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</si>
  <si>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</si>
  <si>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</si>
  <si>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</si>
  <si>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</si>
  <si>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</si>
  <si>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</si>
  <si>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</si>
  <si>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</si>
  <si>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</si>
  <si>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</si>
  <si>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</si>
  <si>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</si>
  <si>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</si>
  <si>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</si>
  <si>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</si>
  <si>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</si>
  <si>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</si>
  <si>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</si>
  <si>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</si>
  <si>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</si>
  <si>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</si>
  <si>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</si>
  <si>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</si>
  <si>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</si>
  <si>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</si>
  <si>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</si>
  <si>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</si>
  <si>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</si>
  <si>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</si>
  <si>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</si>
  <si>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</si>
  <si>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</si>
  <si>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</si>
  <si>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</si>
  <si>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</si>
  <si>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</si>
  <si>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</si>
  <si>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</si>
  <si>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</si>
  <si>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</si>
  <si>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</si>
  <si>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</si>
  <si>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</si>
  <si>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</si>
  <si>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</si>
  <si>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</si>
  <si>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</si>
  <si>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</si>
  <si>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</si>
  <si>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</si>
  <si>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</si>
  <si>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</si>
  <si>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</si>
  <si>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</si>
  <si>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</si>
  <si>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</si>
  <si>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</si>
  <si>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</si>
  <si>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</si>
  <si>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</si>
  <si>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</si>
  <si>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</si>
  <si>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</si>
  <si>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</si>
  <si>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</si>
  <si>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</si>
  <si>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</si>
  <si>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</si>
  <si>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</si>
  <si>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</si>
  <si>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</si>
  <si>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</si>
  <si>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</si>
  <si>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</si>
  <si>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</si>
  <si>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</si>
  <si>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</si>
  <si>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</si>
  <si>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</si>
  <si>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</si>
  <si>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</si>
  <si>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</si>
  <si>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</si>
  <si>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</si>
  <si>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</si>
  <si>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</si>
  <si>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</si>
  <si>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</si>
  <si>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</si>
  <si>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</si>
  <si>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</si>
  <si>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</si>
  <si>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</si>
  <si>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</si>
  <si>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</si>
  <si>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</si>
  <si>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</si>
  <si>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</si>
  <si>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</si>
  <si>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</si>
  <si>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</si>
  <si>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</si>
  <si>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</si>
  <si>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</si>
  <si>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</si>
  <si>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</si>
  <si>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</si>
  <si>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</si>
  <si>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</si>
  <si>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</si>
  <si>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</si>
  <si>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</si>
  <si>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</si>
  <si>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</si>
  <si>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</si>
  <si>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</si>
  <si>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</si>
  <si>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</si>
  <si>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</si>
  <si>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</si>
  <si>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</si>
  <si>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</si>
  <si>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</si>
  <si>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</si>
  <si>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</si>
  <si>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</si>
  <si>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</si>
  <si>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</si>
  <si>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</si>
  <si>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</si>
  <si>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</si>
  <si>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</si>
  <si>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</si>
  <si>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</si>
  <si>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</si>
  <si>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</si>
  <si>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</si>
  <si>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</si>
  <si>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</si>
  <si>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</si>
  <si>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</si>
  <si>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</si>
  <si>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</si>
  <si>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</si>
  <si>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</si>
  <si>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</si>
  <si>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</si>
  <si>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PROJECT ROADMAP</t>
  </si>
  <si>
    <t>E-Commerce Customer Experience Analytics</t>
  </si>
  <si>
    <t>Business Question</t>
  </si>
  <si>
    <t>What factors are associated with delivery delays, low ratings, cancellations, and returns?</t>
  </si>
  <si>
    <t>Step 1</t>
  </si>
  <si>
    <t>Use Raw Data sheet and remove duplicates in Excel.</t>
  </si>
  <si>
    <t>Step 2</t>
  </si>
  <si>
    <t>Check for blanks, incorrect formats, and inconsistent categories.</t>
  </si>
  <si>
    <t>Step 3</t>
  </si>
  <si>
    <t>Create calculated columns: Delivery Status, Delay Days, Rating Band, Order Outcome.</t>
  </si>
  <si>
    <t>Step 4</t>
  </si>
  <si>
    <t>Use IF, SUM, AVERAGE, COUNTIF, SUMIF, AVERAGEIF and PivotTables.</t>
  </si>
  <si>
    <t>Step 5</t>
  </si>
  <si>
    <t>Build 4–5 charts and a one-page dashboard.</t>
  </si>
  <si>
    <t>Step 6</t>
  </si>
  <si>
    <t>Extract 4–6 business insights from the numbers.</t>
  </si>
  <si>
    <t>Step 7</t>
  </si>
  <si>
    <t>Prepare a 10-slide presentation and speaking script.</t>
  </si>
  <si>
    <t>Tools</t>
  </si>
  <si>
    <t>Excel Online is enough for the main project. Python/Colab can be added later for extra analytics.</t>
  </si>
  <si>
    <t>Delivery Status</t>
  </si>
  <si>
    <t>Delay Days</t>
  </si>
  <si>
    <t>Rating Band</t>
  </si>
  <si>
    <t>Order Outcome</t>
  </si>
  <si>
    <t>Net Sales</t>
  </si>
  <si>
    <t>Late Flag</t>
  </si>
  <si>
    <t>E-Commerce Customer Experience Analysis</t>
  </si>
  <si>
    <t>KPI</t>
  </si>
  <si>
    <t>Value</t>
  </si>
  <si>
    <t>Total Orders</t>
  </si>
  <si>
    <t>Total Net Sales</t>
  </si>
  <si>
    <t>Average Rating</t>
  </si>
  <si>
    <t>Late Delivery %</t>
  </si>
  <si>
    <t>Cancellation %</t>
  </si>
  <si>
    <t>Return %</t>
  </si>
  <si>
    <t>Average Delivery Days</t>
  </si>
  <si>
    <t>Catagory</t>
  </si>
  <si>
    <t>Total orders</t>
  </si>
  <si>
    <t>Average Ratings</t>
  </si>
  <si>
    <t>Late %</t>
  </si>
  <si>
    <t>Avg Delivery Days</t>
  </si>
  <si>
    <t>Avg Rating</t>
  </si>
  <si>
    <t>ON TIME</t>
  </si>
  <si>
    <t>Late</t>
  </si>
  <si>
    <t>TOTAL ORDERS</t>
  </si>
  <si>
    <t>NET SALES</t>
  </si>
  <si>
    <t xml:space="preserve"> AVG RATING</t>
  </si>
  <si>
    <t>LATE DELIVERY %</t>
  </si>
  <si>
    <t>CANCEL RATE</t>
  </si>
  <si>
    <t>RETURN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</si>
</sst>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\₹#,##0"/>
    <numFmt numFmtId="166" formatCode="0&quot;%&quot;"/>
    <numFmt numFmtId="167" formatCode="0.0"/>
  </numFmts>
  <fonts count="11">
    <font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color rgb="FF17365D"/>
      <name val="Carlito"/>
    </font>
    <font>
      <b/>
      <sz val="11"/>
      <name val="Carlito"/>
    </font>
    <font>
      <b/>
      <sz val="11"/>
      <color rgb="FF00B050"/>
      <name val="Carlito"/>
    </font>
    <font>
      <b/>
      <sz val="10"/>
      <name val="Century"/>
    </font>
    <font>
      <sz val="11"/>
      <name val="Century"/>
    </font>
    <font>
      <b/>
      <sz val="11"/>
      <name val="Century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Fill="1" applyBorder="1"/>
    <xf numFmtId="165" fontId="0" fillId="0" borderId="1" xfId="0" applyNumberFormat="1" applyFont="1" applyFill="1" applyBorder="1"/>
    <xf numFmtId="166" fontId="0" fillId="0" borderId="1" xfId="0" applyNumberFormat="1" applyFont="1" applyFill="1" applyBorder="1"/>
    <xf numFmtId="167" fontId="0" fillId="0" borderId="1" xfId="0" applyNumberFormat="1" applyFont="1" applyFill="1" applyBorder="1"/>
    <xf numFmtId="0" fontId="4" fillId="2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/>
    <xf numFmtId="0" fontId="4" fillId="2" borderId="1" xfId="0" applyNumberFormat="1" applyFont="1" applyFill="1" applyBorder="1" applyAlignment="1">
      <alignment horizontal="center" wrapText="1"/>
    </xf>
    <xf numFmtId="0" fontId="0" fillId="0" borderId="1" xfId="0" applyNumberFormat="1" applyFont="1" applyFill="1" applyBorder="1" applyAlignment="1">
      <alignment wrapText="1"/>
    </xf>
    <xf numFmtId="10" fontId="0" fillId="0" borderId="0" xfId="0" applyNumberFormat="1"/>
    <xf numFmtId="0" fontId="6" fillId="0" borderId="0" xfId="0" applyFont="1"/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2" fillId="3" borderId="1" xfId="0" applyNumberFormat="1" applyFont="1" applyFill="1" applyBorder="1" applyAlignment="1">
      <alignment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1" xfId="0" applyBorder="1"/>
    <xf numFmtId="0" fontId="6" fillId="0" borderId="1" xfId="0" applyFont="1" applyBorder="1"/>
    <xf numFmtId="0" fontId="6" fillId="0" borderId="2" xfId="0" applyFont="1" applyBorder="1"/>
    <xf numFmtId="0" fontId="0" fillId="0" borderId="2" xfId="0" applyBorder="1"/>
    <xf numFmtId="0" fontId="6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2" fontId="0" fillId="0" borderId="0" xfId="0" applyNumberFormat="1"/>
    <xf numFmtId="10" fontId="0" fillId="0" borderId="2" xfId="0" applyNumberFormat="1" applyBorder="1"/>
    <xf numFmtId="0" fontId="8" fillId="0" borderId="0" xfId="0" applyFont="1" applyAlignment="1"/>
    <xf numFmtId="0" fontId="9" fillId="0" borderId="0" xfId="0" applyFont="1"/>
    <xf numFmtId="0" fontId="10" fillId="0" borderId="0" xfId="0" applyFont="1"/>
    <xf numFmtId="0" fontId="10" fillId="0" borderId="0" xfId="0" applyFont="1" applyAlignment="1"/>
    <xf numFmtId="167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6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/>
    </dxf>
    <dxf>
      <font>
        <color rgb="FF002060"/>
      </font>
    </dxf>
    <dxf>
      <font>
        <color rgb="FFFF0000"/>
      </font>
      <fill>
        <patternFill patternType="solid"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sneha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'Cleaned Data'!$A$2:$S$301</c:f>
              <c:multiLvlStrCache>
                <c:ptCount val="300"/>
                <c:lvl>
                  <c:pt idx="0">
                    <c:v>Completed</c:v>
                  </c:pt>
                  <c:pt idx="1">
                    <c:v>Completed</c:v>
                  </c:pt>
                  <c:pt idx="2">
                    <c:v>Completed</c:v>
                  </c:pt>
                  <c:pt idx="3">
                    <c:v>Completed</c:v>
                  </c:pt>
                  <c:pt idx="4">
                    <c:v>Completed</c:v>
                  </c:pt>
                  <c:pt idx="5">
                    <c:v>Completed</c:v>
                  </c:pt>
                  <c:pt idx="6">
                    <c:v>Completed</c:v>
                  </c:pt>
                  <c:pt idx="7">
                    <c:v>Completed</c:v>
                  </c:pt>
                  <c:pt idx="8">
                    <c:v>Completed</c:v>
                  </c:pt>
                  <c:pt idx="9">
                    <c:v>Completed</c:v>
                  </c:pt>
                  <c:pt idx="10">
                    <c:v>Completed</c:v>
                  </c:pt>
                  <c:pt idx="11">
                    <c:v>Completed</c:v>
                  </c:pt>
                  <c:pt idx="12">
                    <c:v>Completed</c:v>
                  </c:pt>
                  <c:pt idx="13">
                    <c:v>Completed</c:v>
                  </c:pt>
                  <c:pt idx="14">
                    <c:v>Completed</c:v>
                  </c:pt>
                  <c:pt idx="15">
                    <c:v>Completed</c:v>
                  </c:pt>
                  <c:pt idx="16">
                    <c:v>Completed</c:v>
                  </c:pt>
                  <c:pt idx="17">
                    <c:v>Completed</c:v>
                  </c:pt>
                  <c:pt idx="18">
                    <c:v>Cancelled</c:v>
                  </c:pt>
                  <c:pt idx="19">
                    <c:v>Completed</c:v>
                  </c:pt>
                  <c:pt idx="20">
                    <c:v>Completed</c:v>
                  </c:pt>
                  <c:pt idx="21">
                    <c:v>Completed</c:v>
                  </c:pt>
                  <c:pt idx="22">
                    <c:v>Completed</c:v>
                  </c:pt>
                  <c:pt idx="23">
                    <c:v>Completed</c:v>
                  </c:pt>
                  <c:pt idx="24">
                    <c:v>Completed</c:v>
                  </c:pt>
                  <c:pt idx="25">
                    <c:v>Cancelled</c:v>
                  </c:pt>
                  <c:pt idx="26">
                    <c:v>Completed</c:v>
                  </c:pt>
                  <c:pt idx="27">
                    <c:v>Completed</c:v>
                  </c:pt>
                  <c:pt idx="28">
                    <c:v>Completed</c:v>
                  </c:pt>
                  <c:pt idx="29">
                    <c:v>Completed</c:v>
                  </c:pt>
                  <c:pt idx="30">
                    <c:v>Completed</c:v>
                  </c:pt>
                  <c:pt idx="31">
                    <c:v>Completed</c:v>
                  </c:pt>
                  <c:pt idx="32">
                    <c:v>Completed</c:v>
                  </c:pt>
                  <c:pt idx="33">
                    <c:v>Completed</c:v>
                  </c:pt>
                  <c:pt idx="34">
                    <c:v>Completed</c:v>
                  </c:pt>
                  <c:pt idx="35">
                    <c:v>Completed</c:v>
                  </c:pt>
                  <c:pt idx="36">
                    <c:v>Completed</c:v>
                  </c:pt>
                  <c:pt idx="37">
                    <c:v>Completed</c:v>
                  </c:pt>
                  <c:pt idx="38">
                    <c:v>Completed</c:v>
                  </c:pt>
                  <c:pt idx="39">
                    <c:v>Completed</c:v>
                  </c:pt>
                  <c:pt idx="40">
                    <c:v>Completed</c:v>
                  </c:pt>
                  <c:pt idx="41">
                    <c:v>Completed</c:v>
                  </c:pt>
                  <c:pt idx="42">
                    <c:v>Completed</c:v>
                  </c:pt>
                  <c:pt idx="43">
                    <c:v>Completed</c:v>
                  </c:pt>
                  <c:pt idx="44">
                    <c:v>Completed</c:v>
                  </c:pt>
                  <c:pt idx="45">
                    <c:v>Completed</c:v>
                  </c:pt>
                  <c:pt idx="46">
                    <c:v>Completed</c:v>
                  </c:pt>
                  <c:pt idx="47">
                    <c:v>Completed</c:v>
                  </c:pt>
                  <c:pt idx="48">
                    <c:v>Completed</c:v>
                  </c:pt>
                  <c:pt idx="49">
                    <c:v>Completed</c:v>
                  </c:pt>
                  <c:pt idx="50">
                    <c:v>Completed</c:v>
                  </c:pt>
                  <c:pt idx="51">
                    <c:v>Completed</c:v>
                  </c:pt>
                  <c:pt idx="52">
                    <c:v>Completed</c:v>
                  </c:pt>
                  <c:pt idx="53">
                    <c:v>Completed</c:v>
                  </c:pt>
                  <c:pt idx="54">
                    <c:v>Completed</c:v>
                  </c:pt>
                  <c:pt idx="55">
                    <c:v>Completed</c:v>
                  </c:pt>
                  <c:pt idx="56">
                    <c:v>Completed</c:v>
                  </c:pt>
                  <c:pt idx="57">
                    <c:v>Completed</c:v>
                  </c:pt>
                  <c:pt idx="58">
                    <c:v>Completed</c:v>
                  </c:pt>
                  <c:pt idx="59">
                    <c:v>Completed</c:v>
                  </c:pt>
                  <c:pt idx="60">
                    <c:v>Completed</c:v>
                  </c:pt>
                  <c:pt idx="61">
                    <c:v>Completed</c:v>
                  </c:pt>
                  <c:pt idx="62">
                    <c:v>Completed</c:v>
                  </c:pt>
                  <c:pt idx="63">
                    <c:v>Returned</c:v>
                  </c:pt>
                  <c:pt idx="64">
                    <c:v>Completed</c:v>
                  </c:pt>
                  <c:pt idx="65">
                    <c:v>Completed</c:v>
                  </c:pt>
                  <c:pt idx="66">
                    <c:v>Completed</c:v>
                  </c:pt>
                  <c:pt idx="67">
                    <c:v>Completed</c:v>
                  </c:pt>
                  <c:pt idx="68">
                    <c:v>Completed</c:v>
                  </c:pt>
                  <c:pt idx="69">
                    <c:v>Completed</c:v>
                  </c:pt>
                  <c:pt idx="70">
                    <c:v>Completed</c:v>
                  </c:pt>
                  <c:pt idx="71">
                    <c:v>Completed</c:v>
                  </c:pt>
                  <c:pt idx="72">
                    <c:v>Completed</c:v>
                  </c:pt>
                  <c:pt idx="73">
                    <c:v>Completed</c:v>
                  </c:pt>
                  <c:pt idx="74">
                    <c:v>Completed</c:v>
                  </c:pt>
                  <c:pt idx="75">
                    <c:v>Completed</c:v>
                  </c:pt>
                  <c:pt idx="76">
                    <c:v>Completed</c:v>
                  </c:pt>
                  <c:pt idx="77">
                    <c:v>Completed</c:v>
                  </c:pt>
                  <c:pt idx="78">
                    <c:v>Returned</c:v>
                  </c:pt>
                  <c:pt idx="79">
                    <c:v>Completed</c:v>
                  </c:pt>
                  <c:pt idx="80">
                    <c:v>Completed</c:v>
                  </c:pt>
                  <c:pt idx="81">
                    <c:v>Completed</c:v>
                  </c:pt>
                  <c:pt idx="82">
                    <c:v>Completed</c:v>
                  </c:pt>
                  <c:pt idx="83">
                    <c:v>Completed</c:v>
                  </c:pt>
                  <c:pt idx="84">
                    <c:v>Completed</c:v>
                  </c:pt>
                  <c:pt idx="85">
                    <c:v>Returned</c:v>
                  </c:pt>
                  <c:pt idx="86">
                    <c:v>Returned</c:v>
                  </c:pt>
                  <c:pt idx="87">
                    <c:v>Completed</c:v>
                  </c:pt>
                  <c:pt idx="88">
                    <c:v>Completed</c:v>
                  </c:pt>
                  <c:pt idx="89">
                    <c:v>Completed</c:v>
                  </c:pt>
                  <c:pt idx="90">
                    <c:v>Completed</c:v>
                  </c:pt>
                  <c:pt idx="91">
                    <c:v>Completed</c:v>
                  </c:pt>
                  <c:pt idx="92">
                    <c:v>Completed</c:v>
                  </c:pt>
                  <c:pt idx="93">
                    <c:v>Completed</c:v>
                  </c:pt>
                  <c:pt idx="94">
                    <c:v>Completed</c:v>
                  </c:pt>
                  <c:pt idx="95">
                    <c:v>Cancelled</c:v>
                  </c:pt>
                  <c:pt idx="96">
                    <c:v>Completed</c:v>
                  </c:pt>
                  <c:pt idx="97">
                    <c:v>Completed</c:v>
                  </c:pt>
                  <c:pt idx="98">
                    <c:v>Completed</c:v>
                  </c:pt>
                  <c:pt idx="99">
                    <c:v>Completed</c:v>
                  </c:pt>
                  <c:pt idx="100">
                    <c:v>Completed</c:v>
                  </c:pt>
                  <c:pt idx="101">
                    <c:v>Completed</c:v>
                  </c:pt>
                  <c:pt idx="102">
                    <c:v>Completed</c:v>
                  </c:pt>
                  <c:pt idx="103">
                    <c:v>Completed</c:v>
                  </c:pt>
                  <c:pt idx="104">
                    <c:v>Completed</c:v>
                  </c:pt>
                  <c:pt idx="105">
                    <c:v>Completed</c:v>
                  </c:pt>
                  <c:pt idx="106">
                    <c:v>Completed</c:v>
                  </c:pt>
                  <c:pt idx="107">
                    <c:v>Completed</c:v>
                  </c:pt>
                  <c:pt idx="108">
                    <c:v>Completed</c:v>
                  </c:pt>
                  <c:pt idx="109">
                    <c:v>Returned</c:v>
                  </c:pt>
                  <c:pt idx="110">
                    <c:v>Completed</c:v>
                  </c:pt>
                  <c:pt idx="111">
                    <c:v>Completed</c:v>
                  </c:pt>
                  <c:pt idx="112">
                    <c:v>Completed</c:v>
                  </c:pt>
                  <c:pt idx="113">
                    <c:v>Completed</c:v>
                  </c:pt>
                  <c:pt idx="114">
                    <c:v>Completed</c:v>
                  </c:pt>
                  <c:pt idx="115">
                    <c:v>Cancelled</c:v>
                  </c:pt>
                  <c:pt idx="116">
                    <c:v>Completed</c:v>
                  </c:pt>
                  <c:pt idx="117">
                    <c:v>Completed</c:v>
                  </c:pt>
                  <c:pt idx="118">
                    <c:v>Completed</c:v>
                  </c:pt>
                  <c:pt idx="119">
                    <c:v>Completed</c:v>
                  </c:pt>
                  <c:pt idx="120">
                    <c:v>Completed</c:v>
                  </c:pt>
                  <c:pt idx="121">
                    <c:v>Completed</c:v>
                  </c:pt>
                  <c:pt idx="122">
                    <c:v>Completed</c:v>
                  </c:pt>
                  <c:pt idx="123">
                    <c:v>Completed</c:v>
                  </c:pt>
                  <c:pt idx="124">
                    <c:v>Completed</c:v>
                  </c:pt>
                  <c:pt idx="125">
                    <c:v>Completed</c:v>
                  </c:pt>
                  <c:pt idx="126">
                    <c:v>Completed</c:v>
                  </c:pt>
                  <c:pt idx="127">
                    <c:v>Completed</c:v>
                  </c:pt>
                  <c:pt idx="128">
                    <c:v>Completed</c:v>
                  </c:pt>
                  <c:pt idx="129">
                    <c:v>Completed</c:v>
                  </c:pt>
                  <c:pt idx="130">
                    <c:v>Returned</c:v>
                  </c:pt>
                  <c:pt idx="131">
                    <c:v>Completed</c:v>
                  </c:pt>
                  <c:pt idx="132">
                    <c:v>Completed</c:v>
                  </c:pt>
                  <c:pt idx="133">
                    <c:v>Completed</c:v>
                  </c:pt>
                  <c:pt idx="134">
                    <c:v>Completed</c:v>
                  </c:pt>
                  <c:pt idx="135">
                    <c:v>Completed</c:v>
                  </c:pt>
                  <c:pt idx="136">
                    <c:v>Completed</c:v>
                  </c:pt>
                  <c:pt idx="137">
                    <c:v>Completed</c:v>
                  </c:pt>
                  <c:pt idx="138">
                    <c:v>Completed</c:v>
                  </c:pt>
                  <c:pt idx="139">
                    <c:v>Completed</c:v>
                  </c:pt>
                  <c:pt idx="140">
                    <c:v>Completed</c:v>
                  </c:pt>
                  <c:pt idx="141">
                    <c:v>Completed</c:v>
                  </c:pt>
                  <c:pt idx="142">
                    <c:v>Completed</c:v>
                  </c:pt>
                  <c:pt idx="143">
                    <c:v>Completed</c:v>
                  </c:pt>
                  <c:pt idx="144">
                    <c:v>Completed</c:v>
                  </c:pt>
                  <c:pt idx="145">
                    <c:v>Completed</c:v>
                  </c:pt>
                  <c:pt idx="146">
                    <c:v>Completed</c:v>
                  </c:pt>
                  <c:pt idx="147">
                    <c:v>Completed</c:v>
                  </c:pt>
                  <c:pt idx="148">
                    <c:v>Returned</c:v>
                  </c:pt>
                  <c:pt idx="149">
                    <c:v>Completed</c:v>
                  </c:pt>
                  <c:pt idx="150">
                    <c:v>Returned</c:v>
                  </c:pt>
                  <c:pt idx="151">
                    <c:v>Completed</c:v>
                  </c:pt>
                  <c:pt idx="152">
                    <c:v>Completed</c:v>
                  </c:pt>
                  <c:pt idx="153">
                    <c:v>Completed</c:v>
                  </c:pt>
                  <c:pt idx="154">
                    <c:v>Completed</c:v>
                  </c:pt>
                  <c:pt idx="155">
                    <c:v>Completed</c:v>
                  </c:pt>
                  <c:pt idx="156">
                    <c:v>Returned</c:v>
                  </c:pt>
                  <c:pt idx="157">
                    <c:v>Completed</c:v>
                  </c:pt>
                  <c:pt idx="158">
                    <c:v>Completed</c:v>
                  </c:pt>
                  <c:pt idx="159">
                    <c:v>Completed</c:v>
                  </c:pt>
                  <c:pt idx="160">
                    <c:v>Completed</c:v>
                  </c:pt>
                  <c:pt idx="161">
                    <c:v>Completed</c:v>
                  </c:pt>
                  <c:pt idx="162">
                    <c:v>Completed</c:v>
                  </c:pt>
                  <c:pt idx="163">
                    <c:v>Completed</c:v>
                  </c:pt>
                  <c:pt idx="164">
                    <c:v>Completed</c:v>
                  </c:pt>
                  <c:pt idx="165">
                    <c:v>Completed</c:v>
                  </c:pt>
                  <c:pt idx="166">
                    <c:v>Completed</c:v>
                  </c:pt>
                  <c:pt idx="167">
                    <c:v>Completed</c:v>
                  </c:pt>
                  <c:pt idx="168">
                    <c:v>Completed</c:v>
                  </c:pt>
                  <c:pt idx="169">
                    <c:v>Completed</c:v>
                  </c:pt>
                  <c:pt idx="170">
                    <c:v>Completed</c:v>
                  </c:pt>
                  <c:pt idx="171">
                    <c:v>Completed</c:v>
                  </c:pt>
                  <c:pt idx="172">
                    <c:v>Completed</c:v>
                  </c:pt>
                  <c:pt idx="173">
                    <c:v>Completed</c:v>
                  </c:pt>
                  <c:pt idx="174">
                    <c:v>Completed</c:v>
                  </c:pt>
                  <c:pt idx="175">
                    <c:v>Completed</c:v>
                  </c:pt>
                  <c:pt idx="176">
                    <c:v>Completed</c:v>
                  </c:pt>
                  <c:pt idx="177">
                    <c:v>Completed</c:v>
                  </c:pt>
                  <c:pt idx="178">
                    <c:v>Completed</c:v>
                  </c:pt>
                  <c:pt idx="179">
                    <c:v>Completed</c:v>
                  </c:pt>
                  <c:pt idx="180">
                    <c:v>Completed</c:v>
                  </c:pt>
                  <c:pt idx="181">
                    <c:v>Completed</c:v>
                  </c:pt>
                  <c:pt idx="182">
                    <c:v>Completed</c:v>
                  </c:pt>
                  <c:pt idx="183">
                    <c:v>Completed</c:v>
                  </c:pt>
                  <c:pt idx="184">
                    <c:v>Completed</c:v>
                  </c:pt>
                  <c:pt idx="185">
                    <c:v>Completed</c:v>
                  </c:pt>
                  <c:pt idx="186">
                    <c:v>Completed</c:v>
                  </c:pt>
                  <c:pt idx="187">
                    <c:v>Completed</c:v>
                  </c:pt>
                  <c:pt idx="188">
                    <c:v>Completed</c:v>
                  </c:pt>
                  <c:pt idx="189">
                    <c:v>Completed</c:v>
                  </c:pt>
                  <c:pt idx="190">
                    <c:v>Completed</c:v>
                  </c:pt>
                  <c:pt idx="191">
                    <c:v>Completed</c:v>
                  </c:pt>
                  <c:pt idx="192">
                    <c:v>Completed</c:v>
                  </c:pt>
                  <c:pt idx="193">
                    <c:v>Completed</c:v>
                  </c:pt>
                  <c:pt idx="194">
                    <c:v>Completed</c:v>
                  </c:pt>
                  <c:pt idx="195">
                    <c:v>Completed</c:v>
                  </c:pt>
                  <c:pt idx="196">
                    <c:v>Completed</c:v>
                  </c:pt>
                  <c:pt idx="197">
                    <c:v>Completed</c:v>
                  </c:pt>
                  <c:pt idx="198">
                    <c:v>Completed</c:v>
                  </c:pt>
                  <c:pt idx="199">
                    <c:v>Completed</c:v>
                  </c:pt>
                  <c:pt idx="200">
                    <c:v>Completed</c:v>
                  </c:pt>
                  <c:pt idx="201">
                    <c:v>Completed</c:v>
                  </c:pt>
                  <c:pt idx="202">
                    <c:v>Completed</c:v>
                  </c:pt>
                  <c:pt idx="203">
                    <c:v>Completed</c:v>
                  </c:pt>
                  <c:pt idx="204">
                    <c:v>Completed</c:v>
                  </c:pt>
                  <c:pt idx="205">
                    <c:v>Completed</c:v>
                  </c:pt>
                  <c:pt idx="206">
                    <c:v>Completed</c:v>
                  </c:pt>
                  <c:pt idx="207">
                    <c:v>Completed</c:v>
                  </c:pt>
                  <c:pt idx="208">
                    <c:v>Completed</c:v>
                  </c:pt>
                  <c:pt idx="209">
                    <c:v>Completed</c:v>
                  </c:pt>
                  <c:pt idx="210">
                    <c:v>Completed</c:v>
                  </c:pt>
                  <c:pt idx="211">
                    <c:v>Completed</c:v>
                  </c:pt>
                  <c:pt idx="212">
                    <c:v>Completed</c:v>
                  </c:pt>
                  <c:pt idx="213">
                    <c:v>Completed</c:v>
                  </c:pt>
                  <c:pt idx="214">
                    <c:v>Completed</c:v>
                  </c:pt>
                  <c:pt idx="215">
                    <c:v>Completed</c:v>
                  </c:pt>
                  <c:pt idx="216">
                    <c:v>Completed</c:v>
                  </c:pt>
                  <c:pt idx="217">
                    <c:v>Completed</c:v>
                  </c:pt>
                  <c:pt idx="218">
                    <c:v>Completed</c:v>
                  </c:pt>
                  <c:pt idx="219">
                    <c:v>Completed</c:v>
                  </c:pt>
                  <c:pt idx="220">
                    <c:v>Completed</c:v>
                  </c:pt>
                  <c:pt idx="221">
                    <c:v>Completed</c:v>
                  </c:pt>
                  <c:pt idx="222">
                    <c:v>Cancelled</c:v>
                  </c:pt>
                  <c:pt idx="223">
                    <c:v>Completed</c:v>
                  </c:pt>
                  <c:pt idx="224">
                    <c:v>Completed</c:v>
                  </c:pt>
                  <c:pt idx="225">
                    <c:v>Completed</c:v>
                  </c:pt>
                  <c:pt idx="226">
                    <c:v>Cancelled</c:v>
                  </c:pt>
                  <c:pt idx="227">
                    <c:v>Completed</c:v>
                  </c:pt>
                  <c:pt idx="228">
                    <c:v>Completed</c:v>
                  </c:pt>
                  <c:pt idx="229">
                    <c:v>Completed</c:v>
                  </c:pt>
                  <c:pt idx="230">
                    <c:v>Completed</c:v>
                  </c:pt>
                  <c:pt idx="231">
                    <c:v>Completed</c:v>
                  </c:pt>
                  <c:pt idx="232">
                    <c:v>Completed</c:v>
                  </c:pt>
                  <c:pt idx="233">
                    <c:v>Completed</c:v>
                  </c:pt>
                  <c:pt idx="234">
                    <c:v>Completed</c:v>
                  </c:pt>
                  <c:pt idx="235">
                    <c:v>Completed</c:v>
                  </c:pt>
                  <c:pt idx="236">
                    <c:v>Completed</c:v>
                  </c:pt>
                  <c:pt idx="237">
                    <c:v>Completed</c:v>
                  </c:pt>
                  <c:pt idx="238">
                    <c:v>Completed</c:v>
                  </c:pt>
                  <c:pt idx="239">
                    <c:v>Completed</c:v>
                  </c:pt>
                  <c:pt idx="240">
                    <c:v>Cancelled</c:v>
                  </c:pt>
                  <c:pt idx="241">
                    <c:v>Completed</c:v>
                  </c:pt>
                  <c:pt idx="242">
                    <c:v>Completed</c:v>
                  </c:pt>
                  <c:pt idx="243">
                    <c:v>Completed</c:v>
                  </c:pt>
                  <c:pt idx="244">
                    <c:v>Completed</c:v>
                  </c:pt>
                  <c:pt idx="245">
                    <c:v>Completed</c:v>
                  </c:pt>
                  <c:pt idx="246">
                    <c:v>Completed</c:v>
                  </c:pt>
                  <c:pt idx="247">
                    <c:v>Completed</c:v>
                  </c:pt>
                  <c:pt idx="248">
                    <c:v>Completed</c:v>
                  </c:pt>
                  <c:pt idx="249">
                    <c:v>Completed</c:v>
                  </c:pt>
                  <c:pt idx="250">
                    <c:v>Completed</c:v>
                  </c:pt>
                  <c:pt idx="251">
                    <c:v>Completed</c:v>
                  </c:pt>
                  <c:pt idx="252">
                    <c:v>Completed</c:v>
                  </c:pt>
                  <c:pt idx="253">
                    <c:v>Cancelled</c:v>
                  </c:pt>
                  <c:pt idx="254">
                    <c:v>Completed</c:v>
                  </c:pt>
                  <c:pt idx="255">
                    <c:v>Completed</c:v>
                  </c:pt>
                  <c:pt idx="256">
                    <c:v>Completed</c:v>
                  </c:pt>
                  <c:pt idx="257">
                    <c:v>Completed</c:v>
                  </c:pt>
                  <c:pt idx="258">
                    <c:v>Completed</c:v>
                  </c:pt>
                  <c:pt idx="259">
                    <c:v>Completed</c:v>
                  </c:pt>
                  <c:pt idx="260">
                    <c:v>Completed</c:v>
                  </c:pt>
                  <c:pt idx="261">
                    <c:v>Completed</c:v>
                  </c:pt>
                  <c:pt idx="262">
                    <c:v>Completed</c:v>
                  </c:pt>
                  <c:pt idx="263">
                    <c:v>Completed</c:v>
                  </c:pt>
                  <c:pt idx="264">
                    <c:v>Completed</c:v>
                  </c:pt>
                  <c:pt idx="265">
                    <c:v>Completed</c:v>
                  </c:pt>
                  <c:pt idx="266">
                    <c:v>Completed</c:v>
                  </c:pt>
                  <c:pt idx="267">
                    <c:v>Completed</c:v>
                  </c:pt>
                  <c:pt idx="268">
                    <c:v>Completed</c:v>
                  </c:pt>
                  <c:pt idx="269">
                    <c:v>Completed</c:v>
                  </c:pt>
                  <c:pt idx="270">
                    <c:v>Completed</c:v>
                  </c:pt>
                  <c:pt idx="271">
                    <c:v>Completed</c:v>
                  </c:pt>
                  <c:pt idx="272">
                    <c:v>Completed</c:v>
                  </c:pt>
                  <c:pt idx="273">
                    <c:v>Completed</c:v>
                  </c:pt>
                  <c:pt idx="274">
                    <c:v>Completed</c:v>
                  </c:pt>
                  <c:pt idx="275">
                    <c:v>Completed</c:v>
                  </c:pt>
                  <c:pt idx="276">
                    <c:v>Completed</c:v>
                  </c:pt>
                  <c:pt idx="277">
                    <c:v>Completed</c:v>
                  </c:pt>
                  <c:pt idx="278">
                    <c:v>Completed</c:v>
                  </c:pt>
                  <c:pt idx="279">
                    <c:v>Completed</c:v>
                  </c:pt>
                  <c:pt idx="280">
                    <c:v>Completed</c:v>
                  </c:pt>
                  <c:pt idx="281">
                    <c:v>Completed</c:v>
                  </c:pt>
                  <c:pt idx="282">
                    <c:v>Completed</c:v>
                  </c:pt>
                  <c:pt idx="283">
                    <c:v>Completed</c:v>
                  </c:pt>
                  <c:pt idx="284">
                    <c:v>Completed</c:v>
                  </c:pt>
                  <c:pt idx="285">
                    <c:v>Completed</c:v>
                  </c:pt>
                  <c:pt idx="286">
                    <c:v>Completed</c:v>
                  </c:pt>
                  <c:pt idx="287">
                    <c:v>Completed</c:v>
                  </c:pt>
                  <c:pt idx="288">
                    <c:v>Completed</c:v>
                  </c:pt>
                  <c:pt idx="289">
                    <c:v>Completed</c:v>
                  </c:pt>
                  <c:pt idx="290">
                    <c:v>Completed</c:v>
                  </c:pt>
                  <c:pt idx="291">
                    <c:v>Completed</c:v>
                  </c:pt>
                  <c:pt idx="292">
                    <c:v>Completed</c:v>
                  </c:pt>
                  <c:pt idx="293">
                    <c:v>Completed</c:v>
                  </c:pt>
                  <c:pt idx="294">
                    <c:v>Completed</c:v>
                  </c:pt>
                  <c:pt idx="295">
                    <c:v>Completed</c:v>
                  </c:pt>
                  <c:pt idx="296">
                    <c:v>Completed</c:v>
                  </c:pt>
                  <c:pt idx="297">
                    <c:v>Completed</c:v>
                  </c:pt>
                  <c:pt idx="298">
                    <c:v>Completed</c:v>
                  </c:pt>
                  <c:pt idx="299">
                    <c:v>Completed</c:v>
                  </c:pt>
                </c:lvl>
                <c:lvl>
                  <c:pt idx="0">
                    <c:v>High</c:v>
                  </c:pt>
                  <c:pt idx="1">
                    <c:v>Low</c:v>
                  </c:pt>
                  <c:pt idx="2">
                    <c:v>High</c:v>
                  </c:pt>
                  <c:pt idx="3">
                    <c:v>High</c:v>
                  </c:pt>
                  <c:pt idx="4">
                    <c:v>High</c:v>
                  </c:pt>
                  <c:pt idx="5">
                    <c:v>High</c:v>
                  </c:pt>
                  <c:pt idx="6">
                    <c:v>High</c:v>
                  </c:pt>
                  <c:pt idx="7">
                    <c:v>High</c:v>
                  </c:pt>
                  <c:pt idx="8">
                    <c:v>High</c:v>
                  </c:pt>
                  <c:pt idx="9">
                    <c:v>High</c:v>
                  </c:pt>
                  <c:pt idx="10">
                    <c:v>High</c:v>
                  </c:pt>
                  <c:pt idx="11">
                    <c:v>High</c:v>
                  </c:pt>
                  <c:pt idx="12">
                    <c:v>Medium</c:v>
                  </c:pt>
                  <c:pt idx="13">
                    <c:v>Low</c:v>
                  </c:pt>
                  <c:pt idx="14">
                    <c:v>High</c:v>
                  </c:pt>
                  <c:pt idx="15">
                    <c:v>High</c:v>
                  </c:pt>
                  <c:pt idx="16">
                    <c:v>High</c:v>
                  </c:pt>
                  <c:pt idx="17">
                    <c:v>Low</c:v>
                  </c:pt>
                  <c:pt idx="18">
                    <c:v>High</c:v>
                  </c:pt>
                  <c:pt idx="19">
                    <c:v>High</c:v>
                  </c:pt>
                  <c:pt idx="20">
                    <c:v>High</c:v>
                  </c:pt>
                  <c:pt idx="21">
                    <c:v>High</c:v>
                  </c:pt>
                  <c:pt idx="22">
                    <c:v>High</c:v>
                  </c:pt>
                  <c:pt idx="23">
                    <c:v>High</c:v>
                  </c:pt>
                  <c:pt idx="24">
                    <c:v>High</c:v>
                  </c:pt>
                  <c:pt idx="25">
                    <c:v>High</c:v>
                  </c:pt>
                  <c:pt idx="26">
                    <c:v>Medium</c:v>
                  </c:pt>
                  <c:pt idx="27">
                    <c:v>High</c:v>
                  </c:pt>
                  <c:pt idx="28">
                    <c:v>Medium</c:v>
                  </c:pt>
                  <c:pt idx="29">
                    <c:v>Medium</c:v>
                  </c:pt>
                  <c:pt idx="30">
                    <c:v>High</c:v>
                  </c:pt>
                  <c:pt idx="31">
                    <c:v>High</c:v>
                  </c:pt>
                  <c:pt idx="32">
                    <c:v>High</c:v>
                  </c:pt>
                  <c:pt idx="33">
                    <c:v>High</c:v>
                  </c:pt>
                  <c:pt idx="34">
                    <c:v>High</c:v>
                  </c:pt>
                  <c:pt idx="35">
                    <c:v>Medium</c:v>
                  </c:pt>
                  <c:pt idx="36">
                    <c:v>Low</c:v>
                  </c:pt>
                  <c:pt idx="37">
                    <c:v>High</c:v>
                  </c:pt>
                  <c:pt idx="38">
                    <c:v>High</c:v>
                  </c:pt>
                  <c:pt idx="39">
                    <c:v>High</c:v>
                  </c:pt>
                  <c:pt idx="40">
                    <c:v>High</c:v>
                  </c:pt>
                  <c:pt idx="41">
                    <c:v>High</c:v>
                  </c:pt>
                  <c:pt idx="42">
                    <c:v>High</c:v>
                  </c:pt>
                  <c:pt idx="43">
                    <c:v>High</c:v>
                  </c:pt>
                  <c:pt idx="44">
                    <c:v>High</c:v>
                  </c:pt>
                  <c:pt idx="45">
                    <c:v>High</c:v>
                  </c:pt>
                  <c:pt idx="46">
                    <c:v>High</c:v>
                  </c:pt>
                  <c:pt idx="47">
                    <c:v>High</c:v>
                  </c:pt>
                  <c:pt idx="48">
                    <c:v>High</c:v>
                  </c:pt>
                  <c:pt idx="49">
                    <c:v>Medium</c:v>
                  </c:pt>
                  <c:pt idx="50">
                    <c:v>Low</c:v>
                  </c:pt>
                  <c:pt idx="51">
                    <c:v>High</c:v>
                  </c:pt>
                  <c:pt idx="52">
                    <c:v>Medium</c:v>
                  </c:pt>
                  <c:pt idx="53">
                    <c:v>High</c:v>
                  </c:pt>
                  <c:pt idx="54">
                    <c:v>Medium</c:v>
                  </c:pt>
                  <c:pt idx="55">
                    <c:v>High</c:v>
                  </c:pt>
                  <c:pt idx="56">
                    <c:v>High</c:v>
                  </c:pt>
                  <c:pt idx="57">
                    <c:v>High</c:v>
                  </c:pt>
                  <c:pt idx="58">
                    <c:v>High</c:v>
                  </c:pt>
                  <c:pt idx="59">
                    <c:v>High</c:v>
                  </c:pt>
                  <c:pt idx="60">
                    <c:v>High</c:v>
                  </c:pt>
                  <c:pt idx="61">
                    <c:v>High</c:v>
                  </c:pt>
                  <c:pt idx="62">
                    <c:v>High</c:v>
                  </c:pt>
                  <c:pt idx="63">
                    <c:v>High</c:v>
                  </c:pt>
                  <c:pt idx="64">
                    <c:v>High</c:v>
                  </c:pt>
                  <c:pt idx="65">
                    <c:v>High</c:v>
                  </c:pt>
                  <c:pt idx="66">
                    <c:v>High</c:v>
                  </c:pt>
                  <c:pt idx="67">
                    <c:v>High</c:v>
                  </c:pt>
                  <c:pt idx="68">
                    <c:v>High</c:v>
                  </c:pt>
                  <c:pt idx="69">
                    <c:v>High</c:v>
                  </c:pt>
                  <c:pt idx="70">
                    <c:v>High</c:v>
                  </c:pt>
                  <c:pt idx="71">
                    <c:v>High</c:v>
                  </c:pt>
                  <c:pt idx="72">
                    <c:v>High</c:v>
                  </c:pt>
                  <c:pt idx="73">
                    <c:v>High</c:v>
                  </c:pt>
                  <c:pt idx="74">
                    <c:v>High</c:v>
                  </c:pt>
                  <c:pt idx="75">
                    <c:v>High</c:v>
                  </c:pt>
                  <c:pt idx="76">
                    <c:v>High</c:v>
                  </c:pt>
                  <c:pt idx="77">
                    <c:v>High</c:v>
                  </c:pt>
                  <c:pt idx="78">
                    <c:v>High</c:v>
                  </c:pt>
                  <c:pt idx="79">
                    <c:v>High</c:v>
                  </c:pt>
                  <c:pt idx="80">
                    <c:v>High</c:v>
                  </c:pt>
                  <c:pt idx="81">
                    <c:v>High</c:v>
                  </c:pt>
                  <c:pt idx="82">
                    <c:v>Low</c:v>
                  </c:pt>
                  <c:pt idx="83">
                    <c:v>High</c:v>
                  </c:pt>
                  <c:pt idx="84">
                    <c:v>Medium</c:v>
                  </c:pt>
                  <c:pt idx="85">
                    <c:v>High</c:v>
                  </c:pt>
                  <c:pt idx="86">
                    <c:v>High</c:v>
                  </c:pt>
                  <c:pt idx="87">
                    <c:v>High</c:v>
                  </c:pt>
                  <c:pt idx="88">
                    <c:v>High</c:v>
                  </c:pt>
                  <c:pt idx="89">
                    <c:v>High</c:v>
                  </c:pt>
                  <c:pt idx="90">
                    <c:v>High</c:v>
                  </c:pt>
                  <c:pt idx="91">
                    <c:v>High</c:v>
                  </c:pt>
                  <c:pt idx="92">
                    <c:v>High</c:v>
                  </c:pt>
                  <c:pt idx="93">
                    <c:v>Medium</c:v>
                  </c:pt>
                  <c:pt idx="94">
                    <c:v>High</c:v>
                  </c:pt>
                  <c:pt idx="95">
                    <c:v>Medium</c:v>
                  </c:pt>
                  <c:pt idx="96">
                    <c:v>High</c:v>
                  </c:pt>
                  <c:pt idx="97">
                    <c:v>High</c:v>
                  </c:pt>
                  <c:pt idx="98">
                    <c:v>High</c:v>
                  </c:pt>
                  <c:pt idx="99">
                    <c:v>High</c:v>
                  </c:pt>
                  <c:pt idx="100">
                    <c:v>High</c:v>
                  </c:pt>
                  <c:pt idx="101">
                    <c:v>High</c:v>
                  </c:pt>
                  <c:pt idx="102">
                    <c:v>Medium</c:v>
                  </c:pt>
                  <c:pt idx="103">
                    <c:v>High</c:v>
                  </c:pt>
                  <c:pt idx="104">
                    <c:v>High</c:v>
                  </c:pt>
                  <c:pt idx="105">
                    <c:v>Medium</c:v>
                  </c:pt>
                  <c:pt idx="106">
                    <c:v>Medium</c:v>
                  </c:pt>
                  <c:pt idx="107">
                    <c:v>High</c:v>
                  </c:pt>
                  <c:pt idx="108">
                    <c:v>High</c:v>
                  </c:pt>
                  <c:pt idx="109">
                    <c:v>High</c:v>
                  </c:pt>
                  <c:pt idx="110">
                    <c:v>High</c:v>
                  </c:pt>
                  <c:pt idx="111">
                    <c:v>High</c:v>
                  </c:pt>
                  <c:pt idx="112">
                    <c:v>High</c:v>
                  </c:pt>
                  <c:pt idx="113">
                    <c:v>High</c:v>
                  </c:pt>
                  <c:pt idx="114">
                    <c:v>High</c:v>
                  </c:pt>
                  <c:pt idx="115">
                    <c:v>Low</c:v>
                  </c:pt>
                  <c:pt idx="116">
                    <c:v>High</c:v>
                  </c:pt>
                  <c:pt idx="117">
                    <c:v>High</c:v>
                  </c:pt>
                  <c:pt idx="118">
                    <c:v>High</c:v>
                  </c:pt>
                  <c:pt idx="119">
                    <c:v>Medium</c:v>
                  </c:pt>
                  <c:pt idx="120">
                    <c:v>Medium</c:v>
                  </c:pt>
                  <c:pt idx="121">
                    <c:v>High</c:v>
                  </c:pt>
                  <c:pt idx="122">
                    <c:v>High</c:v>
                  </c:pt>
                  <c:pt idx="123">
                    <c:v>Medium</c:v>
                  </c:pt>
                  <c:pt idx="124">
                    <c:v>High</c:v>
                  </c:pt>
                  <c:pt idx="125">
                    <c:v>Medium</c:v>
                  </c:pt>
                  <c:pt idx="126">
                    <c:v>Medium</c:v>
                  </c:pt>
                  <c:pt idx="127">
                    <c:v>High</c:v>
                  </c:pt>
                  <c:pt idx="128">
                    <c:v>High</c:v>
                  </c:pt>
                  <c:pt idx="129">
                    <c:v>High</c:v>
                  </c:pt>
                  <c:pt idx="130">
                    <c:v>High</c:v>
                  </c:pt>
                  <c:pt idx="131">
                    <c:v>High</c:v>
                  </c:pt>
                  <c:pt idx="132">
                    <c:v>High</c:v>
                  </c:pt>
                  <c:pt idx="133">
                    <c:v>High</c:v>
                  </c:pt>
                  <c:pt idx="134">
                    <c:v>High</c:v>
                  </c:pt>
                  <c:pt idx="135">
                    <c:v>High</c:v>
                  </c:pt>
                  <c:pt idx="136">
                    <c:v>High</c:v>
                  </c:pt>
                  <c:pt idx="137">
                    <c:v>High</c:v>
                  </c:pt>
                  <c:pt idx="138">
                    <c:v>Medium</c:v>
                  </c:pt>
                  <c:pt idx="139">
                    <c:v>Medium</c:v>
                  </c:pt>
                  <c:pt idx="140">
                    <c:v>High</c:v>
                  </c:pt>
                  <c:pt idx="141">
                    <c:v>High</c:v>
                  </c:pt>
                  <c:pt idx="142">
                    <c:v>High</c:v>
                  </c:pt>
                  <c:pt idx="143">
                    <c:v>High</c:v>
                  </c:pt>
                  <c:pt idx="144">
                    <c:v>High</c:v>
                  </c:pt>
                  <c:pt idx="145">
                    <c:v>High</c:v>
                  </c:pt>
                  <c:pt idx="146">
                    <c:v>High</c:v>
                  </c:pt>
                  <c:pt idx="147">
                    <c:v>High</c:v>
                  </c:pt>
                  <c:pt idx="148">
                    <c:v>High</c:v>
                  </c:pt>
                  <c:pt idx="149">
                    <c:v>High</c:v>
                  </c:pt>
                  <c:pt idx="150">
                    <c:v>High</c:v>
                  </c:pt>
                  <c:pt idx="151">
                    <c:v>High</c:v>
                  </c:pt>
                  <c:pt idx="152">
                    <c:v>High</c:v>
                  </c:pt>
                  <c:pt idx="153">
                    <c:v>High</c:v>
                  </c:pt>
                  <c:pt idx="154">
                    <c:v>High</c:v>
                  </c:pt>
                  <c:pt idx="155">
                    <c:v>High</c:v>
                  </c:pt>
                  <c:pt idx="156">
                    <c:v>High</c:v>
                  </c:pt>
                  <c:pt idx="157">
                    <c:v>High</c:v>
                  </c:pt>
                  <c:pt idx="158">
                    <c:v>Medium</c:v>
                  </c:pt>
                  <c:pt idx="159">
                    <c:v>High</c:v>
                  </c:pt>
                  <c:pt idx="160">
                    <c:v>High</c:v>
                  </c:pt>
                  <c:pt idx="161">
                    <c:v>High</c:v>
                  </c:pt>
                  <c:pt idx="162">
                    <c:v>High</c:v>
                  </c:pt>
                  <c:pt idx="163">
                    <c:v>Medium</c:v>
                  </c:pt>
                  <c:pt idx="164">
                    <c:v>High</c:v>
                  </c:pt>
                  <c:pt idx="165">
                    <c:v>High</c:v>
                  </c:pt>
                  <c:pt idx="166">
                    <c:v>High</c:v>
                  </c:pt>
                  <c:pt idx="167">
                    <c:v>Medium</c:v>
                  </c:pt>
                  <c:pt idx="168">
                    <c:v>High</c:v>
                  </c:pt>
                  <c:pt idx="169">
                    <c:v>High</c:v>
                  </c:pt>
                  <c:pt idx="170">
                    <c:v>High</c:v>
                  </c:pt>
                  <c:pt idx="171">
                    <c:v>High</c:v>
                  </c:pt>
                  <c:pt idx="172">
                    <c:v>Low</c:v>
                  </c:pt>
                  <c:pt idx="173">
                    <c:v>High</c:v>
                  </c:pt>
                  <c:pt idx="174">
                    <c:v>High</c:v>
                  </c:pt>
                  <c:pt idx="175">
                    <c:v>High</c:v>
                  </c:pt>
                  <c:pt idx="176">
                    <c:v>High</c:v>
                  </c:pt>
                  <c:pt idx="177">
                    <c:v>High</c:v>
                  </c:pt>
                  <c:pt idx="178">
                    <c:v>High</c:v>
                  </c:pt>
                  <c:pt idx="179">
                    <c:v>Medium</c:v>
                  </c:pt>
                  <c:pt idx="180">
                    <c:v>Low</c:v>
                  </c:pt>
                  <c:pt idx="181">
                    <c:v>High</c:v>
                  </c:pt>
                  <c:pt idx="182">
                    <c:v>Medium</c:v>
                  </c:pt>
                  <c:pt idx="183">
                    <c:v>High</c:v>
                  </c:pt>
                  <c:pt idx="184">
                    <c:v>High</c:v>
                  </c:pt>
                  <c:pt idx="185">
                    <c:v>High</c:v>
                  </c:pt>
                  <c:pt idx="186">
                    <c:v>High</c:v>
                  </c:pt>
                  <c:pt idx="187">
                    <c:v>High</c:v>
                  </c:pt>
                  <c:pt idx="188">
                    <c:v>High</c:v>
                  </c:pt>
                  <c:pt idx="189">
                    <c:v>High</c:v>
                  </c:pt>
                  <c:pt idx="190">
                    <c:v>Medium</c:v>
                  </c:pt>
                  <c:pt idx="191">
                    <c:v>Medium</c:v>
                  </c:pt>
                  <c:pt idx="192">
                    <c:v>High</c:v>
                  </c:pt>
                  <c:pt idx="193">
                    <c:v>High</c:v>
                  </c:pt>
                  <c:pt idx="194">
                    <c:v>High</c:v>
                  </c:pt>
                  <c:pt idx="195">
                    <c:v>High</c:v>
                  </c:pt>
                  <c:pt idx="196">
                    <c:v>High</c:v>
                  </c:pt>
                  <c:pt idx="197">
                    <c:v>High</c:v>
                  </c:pt>
                  <c:pt idx="198">
                    <c:v>High</c:v>
                  </c:pt>
                  <c:pt idx="199">
                    <c:v>Medium</c:v>
                  </c:pt>
                  <c:pt idx="200">
                    <c:v>High</c:v>
                  </c:pt>
                  <c:pt idx="201">
                    <c:v>High</c:v>
                  </c:pt>
                  <c:pt idx="202">
                    <c:v>High</c:v>
                  </c:pt>
                  <c:pt idx="203">
                    <c:v>Medium</c:v>
                  </c:pt>
                  <c:pt idx="204">
                    <c:v>High</c:v>
                  </c:pt>
                  <c:pt idx="205">
                    <c:v>High</c:v>
                  </c:pt>
                  <c:pt idx="206">
                    <c:v>High</c:v>
                  </c:pt>
                  <c:pt idx="207">
                    <c:v>High</c:v>
                  </c:pt>
                  <c:pt idx="208">
                    <c:v>High</c:v>
                  </c:pt>
                  <c:pt idx="209">
                    <c:v>High</c:v>
                  </c:pt>
                  <c:pt idx="210">
                    <c:v>High</c:v>
                  </c:pt>
                  <c:pt idx="211">
                    <c:v>Medium</c:v>
                  </c:pt>
                  <c:pt idx="212">
                    <c:v>High</c:v>
                  </c:pt>
                  <c:pt idx="213">
                    <c:v>High</c:v>
                  </c:pt>
                  <c:pt idx="214">
                    <c:v>High</c:v>
                  </c:pt>
                  <c:pt idx="215">
                    <c:v>High</c:v>
                  </c:pt>
                  <c:pt idx="216">
                    <c:v>High</c:v>
                  </c:pt>
                  <c:pt idx="217">
                    <c:v>High</c:v>
                  </c:pt>
                  <c:pt idx="218">
                    <c:v>High</c:v>
                  </c:pt>
                  <c:pt idx="219">
                    <c:v>High</c:v>
                  </c:pt>
                  <c:pt idx="220">
                    <c:v>High</c:v>
                  </c:pt>
                  <c:pt idx="221">
                    <c:v>High</c:v>
                  </c:pt>
                  <c:pt idx="222">
                    <c:v>High</c:v>
                  </c:pt>
                  <c:pt idx="223">
                    <c:v>Medium</c:v>
                  </c:pt>
                  <c:pt idx="224">
                    <c:v>High</c:v>
                  </c:pt>
                  <c:pt idx="225">
                    <c:v>High</c:v>
                  </c:pt>
                  <c:pt idx="226">
                    <c:v>High</c:v>
                  </c:pt>
                  <c:pt idx="227">
                    <c:v>Low</c:v>
                  </c:pt>
                  <c:pt idx="228">
                    <c:v>High</c:v>
                  </c:pt>
                  <c:pt idx="229">
                    <c:v>High</c:v>
                  </c:pt>
                  <c:pt idx="230">
                    <c:v>High</c:v>
                  </c:pt>
                  <c:pt idx="231">
                    <c:v>High</c:v>
                  </c:pt>
                  <c:pt idx="232">
                    <c:v>High</c:v>
                  </c:pt>
                  <c:pt idx="233">
                    <c:v>High</c:v>
                  </c:pt>
                  <c:pt idx="234">
                    <c:v>Medium</c:v>
                  </c:pt>
                  <c:pt idx="235">
                    <c:v>High</c:v>
                  </c:pt>
                  <c:pt idx="236">
                    <c:v>Medium</c:v>
                  </c:pt>
                  <c:pt idx="237">
                    <c:v>High</c:v>
                  </c:pt>
                  <c:pt idx="238">
                    <c:v>Low</c:v>
                  </c:pt>
                  <c:pt idx="239">
                    <c:v>High</c:v>
                  </c:pt>
                  <c:pt idx="240">
                    <c:v>High</c:v>
                  </c:pt>
                  <c:pt idx="241">
                    <c:v>High</c:v>
                  </c:pt>
                  <c:pt idx="242">
                    <c:v>High</c:v>
                  </c:pt>
                  <c:pt idx="243">
                    <c:v>High</c:v>
                  </c:pt>
                  <c:pt idx="244">
                    <c:v>Medium</c:v>
                  </c:pt>
                  <c:pt idx="245">
                    <c:v>High</c:v>
                  </c:pt>
                  <c:pt idx="246">
                    <c:v>High</c:v>
                  </c:pt>
                  <c:pt idx="247">
                    <c:v>High</c:v>
                  </c:pt>
                  <c:pt idx="248">
                    <c:v>High</c:v>
                  </c:pt>
                  <c:pt idx="249">
                    <c:v>High</c:v>
                  </c:pt>
                  <c:pt idx="250">
                    <c:v>High</c:v>
                  </c:pt>
                  <c:pt idx="251">
                    <c:v>High</c:v>
                  </c:pt>
                  <c:pt idx="252">
                    <c:v>High</c:v>
                  </c:pt>
                  <c:pt idx="253">
                    <c:v>High</c:v>
                  </c:pt>
                  <c:pt idx="254">
                    <c:v>High</c:v>
                  </c:pt>
                  <c:pt idx="255">
                    <c:v>High</c:v>
                  </c:pt>
                  <c:pt idx="256">
                    <c:v>High</c:v>
                  </c:pt>
                  <c:pt idx="257">
                    <c:v>Medium</c:v>
                  </c:pt>
                  <c:pt idx="258">
                    <c:v>High</c:v>
                  </c:pt>
                  <c:pt idx="259">
                    <c:v>High</c:v>
                  </c:pt>
                  <c:pt idx="260">
                    <c:v>High</c:v>
                  </c:pt>
                  <c:pt idx="261">
                    <c:v>High</c:v>
                  </c:pt>
                  <c:pt idx="262">
                    <c:v>High</c:v>
                  </c:pt>
                  <c:pt idx="263">
                    <c:v>High</c:v>
                  </c:pt>
                  <c:pt idx="264">
                    <c:v>Medium</c:v>
                  </c:pt>
                  <c:pt idx="265">
                    <c:v>High</c:v>
                  </c:pt>
                  <c:pt idx="266">
                    <c:v>High</c:v>
                  </c:pt>
                  <c:pt idx="267">
                    <c:v>High</c:v>
                  </c:pt>
                  <c:pt idx="268">
                    <c:v>High</c:v>
                  </c:pt>
                  <c:pt idx="269">
                    <c:v>High</c:v>
                  </c:pt>
                  <c:pt idx="270">
                    <c:v>High</c:v>
                  </c:pt>
                  <c:pt idx="271">
                    <c:v>High</c:v>
                  </c:pt>
                  <c:pt idx="272">
                    <c:v>High</c:v>
                  </c:pt>
                  <c:pt idx="273">
                    <c:v>High</c:v>
                  </c:pt>
                  <c:pt idx="274">
                    <c:v>High</c:v>
                  </c:pt>
                  <c:pt idx="275">
                    <c:v>High</c:v>
                  </c:pt>
                  <c:pt idx="276">
                    <c:v>High</c:v>
                  </c:pt>
                  <c:pt idx="277">
                    <c:v>High</c:v>
                  </c:pt>
                  <c:pt idx="278">
                    <c:v>High</c:v>
                  </c:pt>
                  <c:pt idx="279">
                    <c:v>High</c:v>
                  </c:pt>
                  <c:pt idx="280">
                    <c:v>Medium</c:v>
                  </c:pt>
                  <c:pt idx="281">
                    <c:v>Medium</c:v>
                  </c:pt>
                  <c:pt idx="282">
                    <c:v>High</c:v>
                  </c:pt>
                  <c:pt idx="283">
                    <c:v>High</c:v>
                  </c:pt>
                  <c:pt idx="284">
                    <c:v>High</c:v>
                  </c:pt>
                  <c:pt idx="285">
                    <c:v>High</c:v>
                  </c:pt>
                  <c:pt idx="286">
                    <c:v>Low</c:v>
                  </c:pt>
                  <c:pt idx="287">
                    <c:v>High</c:v>
                  </c:pt>
                  <c:pt idx="288">
                    <c:v>High</c:v>
                  </c:pt>
                  <c:pt idx="289">
                    <c:v>High</c:v>
                  </c:pt>
                  <c:pt idx="290">
                    <c:v>Low</c:v>
                  </c:pt>
                  <c:pt idx="291">
                    <c:v>High</c:v>
                  </c:pt>
                  <c:pt idx="292">
                    <c:v>High</c:v>
                  </c:pt>
                  <c:pt idx="293">
                    <c:v>Medium</c:v>
                  </c:pt>
                  <c:pt idx="294">
                    <c:v>High</c:v>
                  </c:pt>
                  <c:pt idx="295">
                    <c:v>High</c:v>
                  </c:pt>
                  <c:pt idx="296">
                    <c:v>High</c:v>
                  </c:pt>
                  <c:pt idx="297">
                    <c:v>High</c:v>
                  </c:pt>
                  <c:pt idx="298">
                    <c:v>High</c:v>
                  </c:pt>
                  <c:pt idx="299">
                    <c:v>High</c:v>
                  </c:pt>
                </c:lvl>
                <c:lvl>
                  <c:pt idx="0">
                    <c:v>0</c:v>
                  </c:pt>
                  <c:pt idx="1">
                    <c:v>3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1</c:v>
                  </c:pt>
                  <c:pt idx="13">
                    <c:v>3</c:v>
                  </c:pt>
                  <c:pt idx="14">
                    <c:v>0</c:v>
                  </c:pt>
                  <c:pt idx="15">
                    <c:v>1</c:v>
                  </c:pt>
                  <c:pt idx="16">
                    <c:v>0</c:v>
                  </c:pt>
                  <c:pt idx="17">
                    <c:v>2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2</c:v>
                  </c:pt>
                  <c:pt idx="27">
                    <c:v>0</c:v>
                  </c:pt>
                  <c:pt idx="28">
                    <c:v>2</c:v>
                  </c:pt>
                  <c:pt idx="29">
                    <c:v>3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3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1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1</c:v>
                  </c:pt>
                  <c:pt idx="49">
                    <c:v>1</c:v>
                  </c:pt>
                  <c:pt idx="50">
                    <c:v>3</c:v>
                  </c:pt>
                  <c:pt idx="51">
                    <c:v>1</c:v>
                  </c:pt>
                  <c:pt idx="52">
                    <c:v>2</c:v>
                  </c:pt>
                  <c:pt idx="53">
                    <c:v>0</c:v>
                  </c:pt>
                  <c:pt idx="54">
                    <c:v>1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1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1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1</c:v>
                  </c:pt>
                  <c:pt idx="77">
                    <c:v>0</c:v>
                  </c:pt>
                  <c:pt idx="78">
                    <c:v>1</c:v>
                  </c:pt>
                  <c:pt idx="79">
                    <c:v>0</c:v>
                  </c:pt>
                  <c:pt idx="80">
                    <c:v>0</c:v>
                  </c:pt>
                  <c:pt idx="81">
                    <c:v>1</c:v>
                  </c:pt>
                  <c:pt idx="82">
                    <c:v>3</c:v>
                  </c:pt>
                  <c:pt idx="83">
                    <c:v>0</c:v>
                  </c:pt>
                  <c:pt idx="84">
                    <c:v>1</c:v>
                  </c:pt>
                  <c:pt idx="85">
                    <c:v>1</c:v>
                  </c:pt>
                  <c:pt idx="86">
                    <c:v>0</c:v>
                  </c:pt>
                  <c:pt idx="87">
                    <c:v>1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1</c:v>
                  </c:pt>
                  <c:pt idx="94">
                    <c:v>0</c:v>
                  </c:pt>
                  <c:pt idx="95">
                    <c:v>2</c:v>
                  </c:pt>
                  <c:pt idx="96">
                    <c:v>0</c:v>
                  </c:pt>
                  <c:pt idx="97">
                    <c:v>1</c:v>
                  </c:pt>
                  <c:pt idx="98">
                    <c:v>1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1</c:v>
                  </c:pt>
                  <c:pt idx="102">
                    <c:v>3</c:v>
                  </c:pt>
                  <c:pt idx="103">
                    <c:v>1</c:v>
                  </c:pt>
                  <c:pt idx="104">
                    <c:v>0</c:v>
                  </c:pt>
                  <c:pt idx="105">
                    <c:v>1</c:v>
                  </c:pt>
                  <c:pt idx="106">
                    <c:v>1</c:v>
                  </c:pt>
                  <c:pt idx="107">
                    <c:v>1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1</c:v>
                  </c:pt>
                  <c:pt idx="114">
                    <c:v>1</c:v>
                  </c:pt>
                  <c:pt idx="115">
                    <c:v>3</c:v>
                  </c:pt>
                  <c:pt idx="116">
                    <c:v>1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1</c:v>
                  </c:pt>
                  <c:pt idx="120">
                    <c:v>1</c:v>
                  </c:pt>
                  <c:pt idx="121">
                    <c:v>0</c:v>
                  </c:pt>
                  <c:pt idx="122">
                    <c:v>1</c:v>
                  </c:pt>
                  <c:pt idx="123">
                    <c:v>1</c:v>
                  </c:pt>
                  <c:pt idx="124">
                    <c:v>0</c:v>
                  </c:pt>
                  <c:pt idx="125">
                    <c:v>2</c:v>
                  </c:pt>
                  <c:pt idx="126">
                    <c:v>3</c:v>
                  </c:pt>
                  <c:pt idx="127">
                    <c:v>0</c:v>
                  </c:pt>
                  <c:pt idx="128">
                    <c:v>1</c:v>
                  </c:pt>
                  <c:pt idx="129">
                    <c:v>0</c:v>
                  </c:pt>
                  <c:pt idx="130">
                    <c:v>1</c:v>
                  </c:pt>
                  <c:pt idx="131">
                    <c:v>0</c:v>
                  </c:pt>
                  <c:pt idx="132">
                    <c:v>1</c:v>
                  </c:pt>
                  <c:pt idx="133">
                    <c:v>0</c:v>
                  </c:pt>
                  <c:pt idx="134">
                    <c:v>1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2</c:v>
                  </c:pt>
                  <c:pt idx="139">
                    <c:v>1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2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2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1</c:v>
                  </c:pt>
                  <c:pt idx="163">
                    <c:v>2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1</c:v>
                  </c:pt>
                  <c:pt idx="167">
                    <c:v>1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3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1</c:v>
                  </c:pt>
                  <c:pt idx="180">
                    <c:v>3</c:v>
                  </c:pt>
                  <c:pt idx="181">
                    <c:v>0</c:v>
                  </c:pt>
                  <c:pt idx="182">
                    <c:v>1</c:v>
                  </c:pt>
                  <c:pt idx="183">
                    <c:v>0</c:v>
                  </c:pt>
                  <c:pt idx="184">
                    <c:v>0</c:v>
                  </c:pt>
                  <c:pt idx="185">
                    <c:v>1</c:v>
                  </c:pt>
                  <c:pt idx="186">
                    <c:v>0</c:v>
                  </c:pt>
                  <c:pt idx="187">
                    <c:v>0</c:v>
                  </c:pt>
                  <c:pt idx="188">
                    <c:v>0</c:v>
                  </c:pt>
                  <c:pt idx="189">
                    <c:v>0</c:v>
                  </c:pt>
                  <c:pt idx="190">
                    <c:v>1</c:v>
                  </c:pt>
                  <c:pt idx="191">
                    <c:v>1</c:v>
                  </c:pt>
                  <c:pt idx="192">
                    <c:v>0</c:v>
                  </c:pt>
                  <c:pt idx="193">
                    <c:v>0</c:v>
                  </c:pt>
                  <c:pt idx="194">
                    <c:v>0</c:v>
                  </c:pt>
                  <c:pt idx="195">
                    <c:v>0</c:v>
                  </c:pt>
                  <c:pt idx="196">
                    <c:v>0</c:v>
                  </c:pt>
                  <c:pt idx="197">
                    <c:v>0</c:v>
                  </c:pt>
                  <c:pt idx="198">
                    <c:v>0</c:v>
                  </c:pt>
                  <c:pt idx="199">
                    <c:v>2</c:v>
                  </c:pt>
                  <c:pt idx="200">
                    <c:v>1</c:v>
                  </c:pt>
                  <c:pt idx="201">
                    <c:v>0</c:v>
                  </c:pt>
                  <c:pt idx="202">
                    <c:v>0</c:v>
                  </c:pt>
                  <c:pt idx="203">
                    <c:v>2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1</c:v>
                  </c:pt>
                  <c:pt idx="207">
                    <c:v>0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0</c:v>
                  </c:pt>
                  <c:pt idx="211">
                    <c:v>3</c:v>
                  </c:pt>
                  <c:pt idx="212">
                    <c:v>0</c:v>
                  </c:pt>
                  <c:pt idx="213">
                    <c:v>0</c:v>
                  </c:pt>
                  <c:pt idx="214">
                    <c:v>0</c:v>
                  </c:pt>
                  <c:pt idx="215">
                    <c:v>0</c:v>
                  </c:pt>
                  <c:pt idx="216">
                    <c:v>0</c:v>
                  </c:pt>
                  <c:pt idx="217">
                    <c:v>0</c:v>
                  </c:pt>
                  <c:pt idx="218">
                    <c:v>1</c:v>
                  </c:pt>
                  <c:pt idx="219">
                    <c:v>0</c:v>
                  </c:pt>
                  <c:pt idx="220">
                    <c:v>1</c:v>
                  </c:pt>
                  <c:pt idx="221">
                    <c:v>0</c:v>
                  </c:pt>
                  <c:pt idx="222">
                    <c:v>0</c:v>
                  </c:pt>
                  <c:pt idx="223">
                    <c:v>1</c:v>
                  </c:pt>
                  <c:pt idx="224">
                    <c:v>0</c:v>
                  </c:pt>
                  <c:pt idx="225">
                    <c:v>0</c:v>
                  </c:pt>
                  <c:pt idx="226">
                    <c:v>0</c:v>
                  </c:pt>
                  <c:pt idx="227">
                    <c:v>3</c:v>
                  </c:pt>
                  <c:pt idx="228">
                    <c:v>0</c:v>
                  </c:pt>
                  <c:pt idx="229">
                    <c:v>1</c:v>
                  </c:pt>
                  <c:pt idx="230">
                    <c:v>1</c:v>
                  </c:pt>
                  <c:pt idx="231">
                    <c:v>0</c:v>
                  </c:pt>
                  <c:pt idx="232">
                    <c:v>1</c:v>
                  </c:pt>
                  <c:pt idx="233">
                    <c:v>0</c:v>
                  </c:pt>
                  <c:pt idx="234">
                    <c:v>1</c:v>
                  </c:pt>
                  <c:pt idx="235">
                    <c:v>1</c:v>
                  </c:pt>
                  <c:pt idx="236">
                    <c:v>1</c:v>
                  </c:pt>
                  <c:pt idx="237">
                    <c:v>0</c:v>
                  </c:pt>
                  <c:pt idx="238">
                    <c:v>3</c:v>
                  </c:pt>
                  <c:pt idx="239">
                    <c:v>0</c:v>
                  </c:pt>
                  <c:pt idx="240">
                    <c:v>0</c:v>
                  </c:pt>
                  <c:pt idx="241">
                    <c:v>0</c:v>
                  </c:pt>
                  <c:pt idx="242">
                    <c:v>0</c:v>
                  </c:pt>
                  <c:pt idx="243">
                    <c:v>0</c:v>
                  </c:pt>
                  <c:pt idx="244">
                    <c:v>2</c:v>
                  </c:pt>
                  <c:pt idx="245">
                    <c:v>0</c:v>
                  </c:pt>
                  <c:pt idx="246">
                    <c:v>0</c:v>
                  </c:pt>
                  <c:pt idx="247">
                    <c:v>0</c:v>
                  </c:pt>
                  <c:pt idx="248">
                    <c:v>1</c:v>
                  </c:pt>
                  <c:pt idx="249">
                    <c:v>0</c:v>
                  </c:pt>
                  <c:pt idx="250">
                    <c:v>0</c:v>
                  </c:pt>
                  <c:pt idx="251">
                    <c:v>0</c:v>
                  </c:pt>
                  <c:pt idx="252">
                    <c:v>0</c:v>
                  </c:pt>
                  <c:pt idx="253">
                    <c:v>0</c:v>
                  </c:pt>
                  <c:pt idx="254">
                    <c:v>0</c:v>
                  </c:pt>
                  <c:pt idx="255">
                    <c:v>0</c:v>
                  </c:pt>
                  <c:pt idx="256">
                    <c:v>0</c:v>
                  </c:pt>
                  <c:pt idx="257">
                    <c:v>2</c:v>
                  </c:pt>
                  <c:pt idx="258">
                    <c:v>0</c:v>
                  </c:pt>
                  <c:pt idx="259">
                    <c:v>0</c:v>
                  </c:pt>
                  <c:pt idx="260">
                    <c:v>0</c:v>
                  </c:pt>
                  <c:pt idx="261">
                    <c:v>1</c:v>
                  </c:pt>
                  <c:pt idx="262">
                    <c:v>0</c:v>
                  </c:pt>
                  <c:pt idx="263">
                    <c:v>0</c:v>
                  </c:pt>
                  <c:pt idx="264">
                    <c:v>1</c:v>
                  </c:pt>
                  <c:pt idx="265">
                    <c:v>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0</c:v>
                  </c:pt>
                  <c:pt idx="269">
                    <c:v>1</c:v>
                  </c:pt>
                  <c:pt idx="270">
                    <c:v>1</c:v>
                  </c:pt>
                  <c:pt idx="271">
                    <c:v>0</c:v>
                  </c:pt>
                  <c:pt idx="272">
                    <c:v>0</c:v>
                  </c:pt>
                  <c:pt idx="273">
                    <c:v>1</c:v>
                  </c:pt>
                  <c:pt idx="274">
                    <c:v>1</c:v>
                  </c:pt>
                  <c:pt idx="275">
                    <c:v>0</c:v>
                  </c:pt>
                  <c:pt idx="276">
                    <c:v>0</c:v>
                  </c:pt>
                  <c:pt idx="277">
                    <c:v>0</c:v>
                  </c:pt>
                  <c:pt idx="278">
                    <c:v>1</c:v>
                  </c:pt>
                  <c:pt idx="279">
                    <c:v>0</c:v>
                  </c:pt>
                  <c:pt idx="280">
                    <c:v>1</c:v>
                  </c:pt>
                  <c:pt idx="281">
                    <c:v>3</c:v>
                  </c:pt>
                  <c:pt idx="282">
                    <c:v>0</c:v>
                  </c:pt>
                  <c:pt idx="283">
                    <c:v>0</c:v>
                  </c:pt>
                  <c:pt idx="284">
                    <c:v>0</c:v>
                  </c:pt>
                  <c:pt idx="285">
                    <c:v>1</c:v>
                  </c:pt>
                  <c:pt idx="286">
                    <c:v>3</c:v>
                  </c:pt>
                  <c:pt idx="287">
                    <c:v>0</c:v>
                  </c:pt>
                  <c:pt idx="288">
                    <c:v>0</c:v>
                  </c:pt>
                  <c:pt idx="289">
                    <c:v>1</c:v>
                  </c:pt>
                  <c:pt idx="290">
                    <c:v>3</c:v>
                  </c:pt>
                  <c:pt idx="291">
                    <c:v>0</c:v>
                  </c:pt>
                  <c:pt idx="292">
                    <c:v>0</c:v>
                  </c:pt>
                  <c:pt idx="293">
                    <c:v>2</c:v>
                  </c:pt>
                  <c:pt idx="294">
                    <c:v>0</c:v>
                  </c:pt>
                  <c:pt idx="295">
                    <c:v>0</c:v>
                  </c:pt>
                  <c:pt idx="296">
                    <c:v>0</c:v>
                  </c:pt>
                  <c:pt idx="297">
                    <c:v>1</c:v>
                  </c:pt>
                  <c:pt idx="298">
                    <c:v>0</c:v>
                  </c:pt>
                  <c:pt idx="299">
                    <c:v>1</c:v>
                  </c:pt>
                </c:lvl>
                <c:lvl>
                  <c:pt idx="0">
                    <c:v>On Time</c:v>
                  </c:pt>
                  <c:pt idx="1">
                    <c:v>Late</c:v>
                  </c:pt>
                  <c:pt idx="2">
                    <c:v>On Time</c:v>
                  </c:pt>
                  <c:pt idx="3">
                    <c:v>On Time</c:v>
                  </c:pt>
                  <c:pt idx="4">
                    <c:v>On Time</c:v>
                  </c:pt>
                  <c:pt idx="5">
                    <c:v>On Time</c:v>
                  </c:pt>
                  <c:pt idx="6">
                    <c:v>Late</c:v>
                  </c:pt>
                  <c:pt idx="7">
                    <c:v>On Time</c:v>
                  </c:pt>
                  <c:pt idx="8">
                    <c:v>Late</c:v>
                  </c:pt>
                  <c:pt idx="9">
                    <c:v>Late</c:v>
                  </c:pt>
                  <c:pt idx="10">
                    <c:v>On Time</c:v>
                  </c:pt>
                  <c:pt idx="11">
                    <c:v>On Time</c:v>
                  </c:pt>
                  <c:pt idx="12">
                    <c:v>Late</c:v>
                  </c:pt>
                  <c:pt idx="13">
                    <c:v>Late</c:v>
                  </c:pt>
                  <c:pt idx="14">
                    <c:v>On Time</c:v>
                  </c:pt>
                  <c:pt idx="15">
                    <c:v>Late</c:v>
                  </c:pt>
                  <c:pt idx="16">
                    <c:v>On Time</c:v>
                  </c:pt>
                  <c:pt idx="17">
                    <c:v>Late</c:v>
                  </c:pt>
                  <c:pt idx="18">
                    <c:v>On Time</c:v>
                  </c:pt>
                  <c:pt idx="19">
                    <c:v>On Time</c:v>
                  </c:pt>
                  <c:pt idx="20">
                    <c:v>On Time</c:v>
                  </c:pt>
                  <c:pt idx="21">
                    <c:v>Late</c:v>
                  </c:pt>
                  <c:pt idx="22">
                    <c:v>On Time</c:v>
                  </c:pt>
                  <c:pt idx="23">
                    <c:v>On Time</c:v>
                  </c:pt>
                  <c:pt idx="24">
                    <c:v>On Time</c:v>
                  </c:pt>
                  <c:pt idx="25">
                    <c:v>On Time</c:v>
                  </c:pt>
                  <c:pt idx="26">
                    <c:v>Late</c:v>
                  </c:pt>
                  <c:pt idx="27">
                    <c:v>On Time</c:v>
                  </c:pt>
                  <c:pt idx="28">
                    <c:v>Late</c:v>
                  </c:pt>
                  <c:pt idx="29">
                    <c:v>Late</c:v>
                  </c:pt>
                  <c:pt idx="30">
                    <c:v>On Time</c:v>
                  </c:pt>
                  <c:pt idx="31">
                    <c:v>On Time</c:v>
                  </c:pt>
                  <c:pt idx="32">
                    <c:v>On Time</c:v>
                  </c:pt>
                  <c:pt idx="33">
                    <c:v>Late</c:v>
                  </c:pt>
                  <c:pt idx="34">
                    <c:v>On Time</c:v>
                  </c:pt>
                  <c:pt idx="35">
                    <c:v>Late</c:v>
                  </c:pt>
                  <c:pt idx="36">
                    <c:v>Late</c:v>
                  </c:pt>
                  <c:pt idx="37">
                    <c:v>On Time</c:v>
                  </c:pt>
                  <c:pt idx="38">
                    <c:v>On Time</c:v>
                  </c:pt>
                  <c:pt idx="39">
                    <c:v>On Time</c:v>
                  </c:pt>
                  <c:pt idx="40">
                    <c:v>Late</c:v>
                  </c:pt>
                  <c:pt idx="41">
                    <c:v>On Time</c:v>
                  </c:pt>
                  <c:pt idx="42">
                    <c:v>On Time</c:v>
                  </c:pt>
                  <c:pt idx="43">
                    <c:v>On Time</c:v>
                  </c:pt>
                  <c:pt idx="44">
                    <c:v>On Time</c:v>
                  </c:pt>
                  <c:pt idx="45">
                    <c:v>Late</c:v>
                  </c:pt>
                  <c:pt idx="46">
                    <c:v>On Time</c:v>
                  </c:pt>
                  <c:pt idx="47">
                    <c:v>On Time</c:v>
                  </c:pt>
                  <c:pt idx="48">
                    <c:v>Late</c:v>
                  </c:pt>
                  <c:pt idx="49">
                    <c:v>Late</c:v>
                  </c:pt>
                  <c:pt idx="50">
                    <c:v>Late</c:v>
                  </c:pt>
                  <c:pt idx="51">
                    <c:v>Late</c:v>
                  </c:pt>
                  <c:pt idx="52">
                    <c:v>Late</c:v>
                  </c:pt>
                  <c:pt idx="53">
                    <c:v>On Time</c:v>
                  </c:pt>
                  <c:pt idx="54">
                    <c:v>Late</c:v>
                  </c:pt>
                  <c:pt idx="55">
                    <c:v>On Time</c:v>
                  </c:pt>
                  <c:pt idx="56">
                    <c:v>On Time</c:v>
                  </c:pt>
                  <c:pt idx="57">
                    <c:v>On Time</c:v>
                  </c:pt>
                  <c:pt idx="58">
                    <c:v>On Time</c:v>
                  </c:pt>
                  <c:pt idx="59">
                    <c:v>On Time</c:v>
                  </c:pt>
                  <c:pt idx="60">
                    <c:v>Late</c:v>
                  </c:pt>
                  <c:pt idx="61">
                    <c:v>On Time</c:v>
                  </c:pt>
                  <c:pt idx="62">
                    <c:v>On Time</c:v>
                  </c:pt>
                  <c:pt idx="63">
                    <c:v>On Time</c:v>
                  </c:pt>
                  <c:pt idx="64">
                    <c:v>Late</c:v>
                  </c:pt>
                  <c:pt idx="65">
                    <c:v>On Time</c:v>
                  </c:pt>
                  <c:pt idx="66">
                    <c:v>On Time</c:v>
                  </c:pt>
                  <c:pt idx="67">
                    <c:v>On Time</c:v>
                  </c:pt>
                  <c:pt idx="68">
                    <c:v>On Time</c:v>
                  </c:pt>
                  <c:pt idx="69">
                    <c:v>On Time</c:v>
                  </c:pt>
                  <c:pt idx="70">
                    <c:v>On Time</c:v>
                  </c:pt>
                  <c:pt idx="71">
                    <c:v>On Time</c:v>
                  </c:pt>
                  <c:pt idx="72">
                    <c:v>On Time</c:v>
                  </c:pt>
                  <c:pt idx="73">
                    <c:v>On Time</c:v>
                  </c:pt>
                  <c:pt idx="74">
                    <c:v>On Time</c:v>
                  </c:pt>
                  <c:pt idx="75">
                    <c:v>On Time</c:v>
                  </c:pt>
                  <c:pt idx="76">
                    <c:v>Late</c:v>
                  </c:pt>
                  <c:pt idx="77">
                    <c:v>On Time</c:v>
                  </c:pt>
                  <c:pt idx="78">
                    <c:v>Late</c:v>
                  </c:pt>
                  <c:pt idx="79">
                    <c:v>On Time</c:v>
                  </c:pt>
                  <c:pt idx="80">
                    <c:v>On Time</c:v>
                  </c:pt>
                  <c:pt idx="81">
                    <c:v>Late</c:v>
                  </c:pt>
                  <c:pt idx="82">
                    <c:v>Late</c:v>
                  </c:pt>
                  <c:pt idx="83">
                    <c:v>On Time</c:v>
                  </c:pt>
                  <c:pt idx="84">
                    <c:v>Late</c:v>
                  </c:pt>
                  <c:pt idx="85">
                    <c:v>Late</c:v>
                  </c:pt>
                  <c:pt idx="86">
                    <c:v>On Time</c:v>
                  </c:pt>
                  <c:pt idx="87">
                    <c:v>Late</c:v>
                  </c:pt>
                  <c:pt idx="88">
                    <c:v>On Time</c:v>
                  </c:pt>
                  <c:pt idx="89">
                    <c:v>On Time</c:v>
                  </c:pt>
                  <c:pt idx="90">
                    <c:v>On Time</c:v>
                  </c:pt>
                  <c:pt idx="91">
                    <c:v>On Time</c:v>
                  </c:pt>
                  <c:pt idx="92">
                    <c:v>On Time</c:v>
                  </c:pt>
                  <c:pt idx="93">
                    <c:v>Late</c:v>
                  </c:pt>
                  <c:pt idx="94">
                    <c:v>On Time</c:v>
                  </c:pt>
                  <c:pt idx="95">
                    <c:v>Late</c:v>
                  </c:pt>
                  <c:pt idx="96">
                    <c:v>On Time</c:v>
                  </c:pt>
                  <c:pt idx="97">
                    <c:v>Late</c:v>
                  </c:pt>
                  <c:pt idx="98">
                    <c:v>Late</c:v>
                  </c:pt>
                  <c:pt idx="99">
                    <c:v>On Time</c:v>
                  </c:pt>
                  <c:pt idx="100">
                    <c:v>On Time</c:v>
                  </c:pt>
                  <c:pt idx="101">
                    <c:v>Late</c:v>
                  </c:pt>
                  <c:pt idx="102">
                    <c:v>Late</c:v>
                  </c:pt>
                  <c:pt idx="103">
                    <c:v>Late</c:v>
                  </c:pt>
                  <c:pt idx="104">
                    <c:v>On Time</c:v>
                  </c:pt>
                  <c:pt idx="105">
                    <c:v>Late</c:v>
                  </c:pt>
                  <c:pt idx="106">
                    <c:v>Late</c:v>
                  </c:pt>
                  <c:pt idx="107">
                    <c:v>Late</c:v>
                  </c:pt>
                  <c:pt idx="108">
                    <c:v>On Time</c:v>
                  </c:pt>
                  <c:pt idx="109">
                    <c:v>On Time</c:v>
                  </c:pt>
                  <c:pt idx="110">
                    <c:v>On Time</c:v>
                  </c:pt>
                  <c:pt idx="111">
                    <c:v>On Time</c:v>
                  </c:pt>
                  <c:pt idx="112">
                    <c:v>On Time</c:v>
                  </c:pt>
                  <c:pt idx="113">
                    <c:v>Late</c:v>
                  </c:pt>
                  <c:pt idx="114">
                    <c:v>Late</c:v>
                  </c:pt>
                  <c:pt idx="115">
                    <c:v>Late</c:v>
                  </c:pt>
                  <c:pt idx="116">
                    <c:v>Late</c:v>
                  </c:pt>
                  <c:pt idx="117">
                    <c:v>On Time</c:v>
                  </c:pt>
                  <c:pt idx="118">
                    <c:v>On Time</c:v>
                  </c:pt>
                  <c:pt idx="119">
                    <c:v>Late</c:v>
                  </c:pt>
                  <c:pt idx="120">
                    <c:v>Late</c:v>
                  </c:pt>
                  <c:pt idx="121">
                    <c:v>On Time</c:v>
                  </c:pt>
                  <c:pt idx="122">
                    <c:v>Late</c:v>
                  </c:pt>
                  <c:pt idx="123">
                    <c:v>Late</c:v>
                  </c:pt>
                  <c:pt idx="124">
                    <c:v>On Time</c:v>
                  </c:pt>
                  <c:pt idx="125">
                    <c:v>Late</c:v>
                  </c:pt>
                  <c:pt idx="126">
                    <c:v>Late</c:v>
                  </c:pt>
                  <c:pt idx="127">
                    <c:v>On Time</c:v>
                  </c:pt>
                  <c:pt idx="128">
                    <c:v>Late</c:v>
                  </c:pt>
                  <c:pt idx="129">
                    <c:v>On Time</c:v>
                  </c:pt>
                  <c:pt idx="130">
                    <c:v>Late</c:v>
                  </c:pt>
                  <c:pt idx="131">
                    <c:v>On Time</c:v>
                  </c:pt>
                  <c:pt idx="132">
                    <c:v>Late</c:v>
                  </c:pt>
                  <c:pt idx="133">
                    <c:v>On Time</c:v>
                  </c:pt>
                  <c:pt idx="134">
                    <c:v>Late</c:v>
                  </c:pt>
                  <c:pt idx="135">
                    <c:v>On Time</c:v>
                  </c:pt>
                  <c:pt idx="136">
                    <c:v>On Time</c:v>
                  </c:pt>
                  <c:pt idx="137">
                    <c:v>On Time</c:v>
                  </c:pt>
                  <c:pt idx="138">
                    <c:v>Late</c:v>
                  </c:pt>
                  <c:pt idx="139">
                    <c:v>Late</c:v>
                  </c:pt>
                  <c:pt idx="140">
                    <c:v>On Time</c:v>
                  </c:pt>
                  <c:pt idx="141">
                    <c:v>On Time</c:v>
                  </c:pt>
                  <c:pt idx="142">
                    <c:v>On Time</c:v>
                  </c:pt>
                  <c:pt idx="143">
                    <c:v>On Time</c:v>
                  </c:pt>
                  <c:pt idx="144">
                    <c:v>On Time</c:v>
                  </c:pt>
                  <c:pt idx="145">
                    <c:v>On Time</c:v>
                  </c:pt>
                  <c:pt idx="146">
                    <c:v>On Time</c:v>
                  </c:pt>
                  <c:pt idx="147">
                    <c:v>On Time</c:v>
                  </c:pt>
                  <c:pt idx="148">
                    <c:v>On Time</c:v>
                  </c:pt>
                  <c:pt idx="149">
                    <c:v>On Time</c:v>
                  </c:pt>
                  <c:pt idx="150">
                    <c:v>On Time</c:v>
                  </c:pt>
                  <c:pt idx="151">
                    <c:v>On Time</c:v>
                  </c:pt>
                  <c:pt idx="152">
                    <c:v>On Time</c:v>
                  </c:pt>
                  <c:pt idx="153">
                    <c:v>On Time</c:v>
                  </c:pt>
                  <c:pt idx="154">
                    <c:v>Late</c:v>
                  </c:pt>
                  <c:pt idx="155">
                    <c:v>On Time</c:v>
                  </c:pt>
                  <c:pt idx="156">
                    <c:v>On Time</c:v>
                  </c:pt>
                  <c:pt idx="157">
                    <c:v>On Time</c:v>
                  </c:pt>
                  <c:pt idx="158">
                    <c:v>Late</c:v>
                  </c:pt>
                  <c:pt idx="159">
                    <c:v>On Time</c:v>
                  </c:pt>
                  <c:pt idx="160">
                    <c:v>On Time</c:v>
                  </c:pt>
                  <c:pt idx="161">
                    <c:v>On Time</c:v>
                  </c:pt>
                  <c:pt idx="162">
                    <c:v>Late</c:v>
                  </c:pt>
                  <c:pt idx="163">
                    <c:v>Late</c:v>
                  </c:pt>
                  <c:pt idx="164">
                    <c:v>On Time</c:v>
                  </c:pt>
                  <c:pt idx="165">
                    <c:v>On Time</c:v>
                  </c:pt>
                  <c:pt idx="166">
                    <c:v>Late</c:v>
                  </c:pt>
                  <c:pt idx="167">
                    <c:v>Late</c:v>
                  </c:pt>
                  <c:pt idx="168">
                    <c:v>On Time</c:v>
                  </c:pt>
                  <c:pt idx="169">
                    <c:v>On Time</c:v>
                  </c:pt>
                  <c:pt idx="170">
                    <c:v>On Time</c:v>
                  </c:pt>
                  <c:pt idx="171">
                    <c:v>On Time</c:v>
                  </c:pt>
                  <c:pt idx="172">
                    <c:v>Late</c:v>
                  </c:pt>
                  <c:pt idx="173">
                    <c:v>On Time</c:v>
                  </c:pt>
                  <c:pt idx="174">
                    <c:v>On Time</c:v>
                  </c:pt>
                  <c:pt idx="175">
                    <c:v>On Time</c:v>
                  </c:pt>
                  <c:pt idx="176">
                    <c:v>On Time</c:v>
                  </c:pt>
                  <c:pt idx="177">
                    <c:v>On Time</c:v>
                  </c:pt>
                  <c:pt idx="178">
                    <c:v>On Time</c:v>
                  </c:pt>
                  <c:pt idx="179">
                    <c:v>Late</c:v>
                  </c:pt>
                  <c:pt idx="180">
                    <c:v>Late</c:v>
                  </c:pt>
                  <c:pt idx="181">
                    <c:v>On Time</c:v>
                  </c:pt>
                  <c:pt idx="182">
                    <c:v>Late</c:v>
                  </c:pt>
                  <c:pt idx="183">
                    <c:v>On Time</c:v>
                  </c:pt>
                  <c:pt idx="184">
                    <c:v>On Time</c:v>
                  </c:pt>
                  <c:pt idx="185">
                    <c:v>Late</c:v>
                  </c:pt>
                  <c:pt idx="186">
                    <c:v>On Time</c:v>
                  </c:pt>
                  <c:pt idx="187">
                    <c:v>On Time</c:v>
                  </c:pt>
                  <c:pt idx="188">
                    <c:v>On Time</c:v>
                  </c:pt>
                  <c:pt idx="189">
                    <c:v>On Time</c:v>
                  </c:pt>
                  <c:pt idx="190">
                    <c:v>Late</c:v>
                  </c:pt>
                  <c:pt idx="191">
                    <c:v>Late</c:v>
                  </c:pt>
                  <c:pt idx="192">
                    <c:v>On Time</c:v>
                  </c:pt>
                  <c:pt idx="193">
                    <c:v>On Time</c:v>
                  </c:pt>
                  <c:pt idx="194">
                    <c:v>On Time</c:v>
                  </c:pt>
                  <c:pt idx="195">
                    <c:v>On Time</c:v>
                  </c:pt>
                  <c:pt idx="196">
                    <c:v>On Time</c:v>
                  </c:pt>
                  <c:pt idx="197">
                    <c:v>On Time</c:v>
                  </c:pt>
                  <c:pt idx="198">
                    <c:v>On Time</c:v>
                  </c:pt>
                  <c:pt idx="199">
                    <c:v>Late</c:v>
                  </c:pt>
                  <c:pt idx="200">
                    <c:v>Late</c:v>
                  </c:pt>
                  <c:pt idx="201">
                    <c:v>On Time</c:v>
                  </c:pt>
                  <c:pt idx="202">
                    <c:v>On Time</c:v>
                  </c:pt>
                  <c:pt idx="203">
                    <c:v>Late</c:v>
                  </c:pt>
                  <c:pt idx="204">
                    <c:v>On Time</c:v>
                  </c:pt>
                  <c:pt idx="205">
                    <c:v>On Time</c:v>
                  </c:pt>
                  <c:pt idx="206">
                    <c:v>Late</c:v>
                  </c:pt>
                  <c:pt idx="207">
                    <c:v>On Time</c:v>
                  </c:pt>
                  <c:pt idx="208">
                    <c:v>On Time</c:v>
                  </c:pt>
                  <c:pt idx="209">
                    <c:v>On Time</c:v>
                  </c:pt>
                  <c:pt idx="210">
                    <c:v>On Time</c:v>
                  </c:pt>
                  <c:pt idx="211">
                    <c:v>Late</c:v>
                  </c:pt>
                  <c:pt idx="212">
                    <c:v>On Time</c:v>
                  </c:pt>
                  <c:pt idx="213">
                    <c:v>On Time</c:v>
                  </c:pt>
                  <c:pt idx="214">
                    <c:v>On Time</c:v>
                  </c:pt>
                  <c:pt idx="215">
                    <c:v>On Time</c:v>
                  </c:pt>
                  <c:pt idx="216">
                    <c:v>On Time</c:v>
                  </c:pt>
                  <c:pt idx="217">
                    <c:v>On Time</c:v>
                  </c:pt>
                  <c:pt idx="218">
                    <c:v>Late</c:v>
                  </c:pt>
                  <c:pt idx="219">
                    <c:v>On Time</c:v>
                  </c:pt>
                  <c:pt idx="220">
                    <c:v>Late</c:v>
                  </c:pt>
                  <c:pt idx="221">
                    <c:v>On Time</c:v>
                  </c:pt>
                  <c:pt idx="222">
                    <c:v>On Time</c:v>
                  </c:pt>
                  <c:pt idx="223">
                    <c:v>Late</c:v>
                  </c:pt>
                  <c:pt idx="224">
                    <c:v>On Time</c:v>
                  </c:pt>
                  <c:pt idx="225">
                    <c:v>On Time</c:v>
                  </c:pt>
                  <c:pt idx="226">
                    <c:v>On Time</c:v>
                  </c:pt>
                  <c:pt idx="227">
                    <c:v>Late</c:v>
                  </c:pt>
                  <c:pt idx="228">
                    <c:v>On Time</c:v>
                  </c:pt>
                  <c:pt idx="229">
                    <c:v>Late</c:v>
                  </c:pt>
                  <c:pt idx="230">
                    <c:v>Late</c:v>
                  </c:pt>
                  <c:pt idx="231">
                    <c:v>On Time</c:v>
                  </c:pt>
                  <c:pt idx="232">
                    <c:v>Late</c:v>
                  </c:pt>
                  <c:pt idx="233">
                    <c:v>On Time</c:v>
                  </c:pt>
                  <c:pt idx="234">
                    <c:v>Late</c:v>
                  </c:pt>
                  <c:pt idx="235">
                    <c:v>Late</c:v>
                  </c:pt>
                  <c:pt idx="236">
                    <c:v>Late</c:v>
                  </c:pt>
                  <c:pt idx="237">
                    <c:v>On Time</c:v>
                  </c:pt>
                  <c:pt idx="238">
                    <c:v>Late</c:v>
                  </c:pt>
                  <c:pt idx="239">
                    <c:v>On Time</c:v>
                  </c:pt>
                  <c:pt idx="240">
                    <c:v>On Time</c:v>
                  </c:pt>
                  <c:pt idx="241">
                    <c:v>On Time</c:v>
                  </c:pt>
                  <c:pt idx="242">
                    <c:v>On Time</c:v>
                  </c:pt>
                  <c:pt idx="243">
                    <c:v>On Time</c:v>
                  </c:pt>
                  <c:pt idx="244">
                    <c:v>Late</c:v>
                  </c:pt>
                  <c:pt idx="245">
                    <c:v>On Time</c:v>
                  </c:pt>
                  <c:pt idx="246">
                    <c:v>On Time</c:v>
                  </c:pt>
                  <c:pt idx="247">
                    <c:v>On Time</c:v>
                  </c:pt>
                  <c:pt idx="248">
                    <c:v>Late</c:v>
                  </c:pt>
                  <c:pt idx="249">
                    <c:v>On Time</c:v>
                  </c:pt>
                  <c:pt idx="250">
                    <c:v>On Time</c:v>
                  </c:pt>
                  <c:pt idx="251">
                    <c:v>On Time</c:v>
                  </c:pt>
                  <c:pt idx="252">
                    <c:v>On Time</c:v>
                  </c:pt>
                  <c:pt idx="253">
                    <c:v>On Time</c:v>
                  </c:pt>
                  <c:pt idx="254">
                    <c:v>On Time</c:v>
                  </c:pt>
                  <c:pt idx="255">
                    <c:v>On Time</c:v>
                  </c:pt>
                  <c:pt idx="256">
                    <c:v>On Time</c:v>
                  </c:pt>
                  <c:pt idx="257">
                    <c:v>Late</c:v>
                  </c:pt>
                  <c:pt idx="258">
                    <c:v>On Time</c:v>
                  </c:pt>
                  <c:pt idx="259">
                    <c:v>On Time</c:v>
                  </c:pt>
                  <c:pt idx="260">
                    <c:v>On Time</c:v>
                  </c:pt>
                  <c:pt idx="261">
                    <c:v>Late</c:v>
                  </c:pt>
                  <c:pt idx="262">
                    <c:v>On Time</c:v>
                  </c:pt>
                  <c:pt idx="263">
                    <c:v>On Time</c:v>
                  </c:pt>
                  <c:pt idx="264">
                    <c:v>Late</c:v>
                  </c:pt>
                  <c:pt idx="265">
                    <c:v>On Time</c:v>
                  </c:pt>
                  <c:pt idx="266">
                    <c:v>On Time</c:v>
                  </c:pt>
                  <c:pt idx="267">
                    <c:v>On Time</c:v>
                  </c:pt>
                  <c:pt idx="268">
                    <c:v>On Time</c:v>
                  </c:pt>
                  <c:pt idx="269">
                    <c:v>Late</c:v>
                  </c:pt>
                  <c:pt idx="270">
                    <c:v>Late</c:v>
                  </c:pt>
                  <c:pt idx="271">
                    <c:v>On Time</c:v>
                  </c:pt>
                  <c:pt idx="272">
                    <c:v>On Time</c:v>
                  </c:pt>
                  <c:pt idx="273">
                    <c:v>Late</c:v>
                  </c:pt>
                  <c:pt idx="274">
                    <c:v>Late</c:v>
                  </c:pt>
                  <c:pt idx="275">
                    <c:v>On Time</c:v>
                  </c:pt>
                  <c:pt idx="276">
                    <c:v>On Time</c:v>
                  </c:pt>
                  <c:pt idx="277">
                    <c:v>On Time</c:v>
                  </c:pt>
                  <c:pt idx="278">
                    <c:v>Late</c:v>
                  </c:pt>
                  <c:pt idx="279">
                    <c:v>On Time</c:v>
                  </c:pt>
                  <c:pt idx="280">
                    <c:v>Late</c:v>
                  </c:pt>
                  <c:pt idx="281">
                    <c:v>Late</c:v>
                  </c:pt>
                  <c:pt idx="282">
                    <c:v>On Time</c:v>
                  </c:pt>
                  <c:pt idx="283">
                    <c:v>On Time</c:v>
                  </c:pt>
                  <c:pt idx="284">
                    <c:v>On Time</c:v>
                  </c:pt>
                  <c:pt idx="285">
                    <c:v>Late</c:v>
                  </c:pt>
                  <c:pt idx="286">
                    <c:v>Late</c:v>
                  </c:pt>
                  <c:pt idx="287">
                    <c:v>On Time</c:v>
                  </c:pt>
                  <c:pt idx="288">
                    <c:v>On Time</c:v>
                  </c:pt>
                  <c:pt idx="289">
                    <c:v>Late</c:v>
                  </c:pt>
                  <c:pt idx="290">
                    <c:v>Late</c:v>
                  </c:pt>
                  <c:pt idx="291">
                    <c:v>On Time</c:v>
                  </c:pt>
                  <c:pt idx="292">
                    <c:v>On Time</c:v>
                  </c:pt>
                  <c:pt idx="293">
                    <c:v>Late</c:v>
                  </c:pt>
                  <c:pt idx="294">
                    <c:v>On Time</c:v>
                  </c:pt>
                  <c:pt idx="295">
                    <c:v>On Time</c:v>
                  </c:pt>
                  <c:pt idx="296">
                    <c:v>On Time</c:v>
                  </c:pt>
                  <c:pt idx="297">
                    <c:v>Late</c:v>
                  </c:pt>
                  <c:pt idx="298">
                    <c:v>On Time</c:v>
                  </c:pt>
                  <c:pt idx="299">
                    <c:v>Late</c:v>
                  </c:pt>
                </c:lvl>
                <c:lvl>
                  <c:pt idx="0">
                    <c:v>Returning</c:v>
                  </c:pt>
                  <c:pt idx="1">
                    <c:v>New</c:v>
                  </c:pt>
                  <c:pt idx="2">
                    <c:v>Returning</c:v>
                  </c:pt>
                  <c:pt idx="3">
                    <c:v>Returning</c:v>
                  </c:pt>
                  <c:pt idx="4">
                    <c:v>Returning</c:v>
                  </c:pt>
                  <c:pt idx="5">
                    <c:v>New</c:v>
                  </c:pt>
                  <c:pt idx="6">
                    <c:v>Returning</c:v>
                  </c:pt>
                  <c:pt idx="7">
                    <c:v>New</c:v>
                  </c:pt>
                  <c:pt idx="8">
                    <c:v>Returning</c:v>
                  </c:pt>
                  <c:pt idx="9">
                    <c:v>New</c:v>
                  </c:pt>
                  <c:pt idx="10">
                    <c:v>Returning</c:v>
                  </c:pt>
                  <c:pt idx="11">
                    <c:v>Returning</c:v>
                  </c:pt>
                  <c:pt idx="12">
                    <c:v>New</c:v>
                  </c:pt>
                  <c:pt idx="13">
                    <c:v>New</c:v>
                  </c:pt>
                  <c:pt idx="14">
                    <c:v>New</c:v>
                  </c:pt>
                  <c:pt idx="15">
                    <c:v>Returning</c:v>
                  </c:pt>
                  <c:pt idx="16">
                    <c:v>Returning</c:v>
                  </c:pt>
                  <c:pt idx="17">
                    <c:v>Returning</c:v>
                  </c:pt>
                  <c:pt idx="18">
                    <c:v>Returning</c:v>
                  </c:pt>
                  <c:pt idx="19">
                    <c:v>New</c:v>
                  </c:pt>
                  <c:pt idx="20">
                    <c:v>VIP</c:v>
                  </c:pt>
                  <c:pt idx="21">
                    <c:v>New</c:v>
                  </c:pt>
                  <c:pt idx="22">
                    <c:v>Returning</c:v>
                  </c:pt>
                  <c:pt idx="23">
                    <c:v>Returning</c:v>
                  </c:pt>
                  <c:pt idx="24">
                    <c:v>Returning</c:v>
                  </c:pt>
                  <c:pt idx="25">
                    <c:v>New</c:v>
                  </c:pt>
                  <c:pt idx="26">
                    <c:v>Returning</c:v>
                  </c:pt>
                  <c:pt idx="27">
                    <c:v>Returning</c:v>
                  </c:pt>
                  <c:pt idx="28">
                    <c:v>VIP</c:v>
                  </c:pt>
                  <c:pt idx="29">
                    <c:v>New</c:v>
                  </c:pt>
                  <c:pt idx="30">
                    <c:v>Returning</c:v>
                  </c:pt>
                  <c:pt idx="31">
                    <c:v>Returning</c:v>
                  </c:pt>
                  <c:pt idx="32">
                    <c:v>Returning</c:v>
                  </c:pt>
                  <c:pt idx="33">
                    <c:v>Returning</c:v>
                  </c:pt>
                  <c:pt idx="34">
                    <c:v>New</c:v>
                  </c:pt>
                  <c:pt idx="35">
                    <c:v>New</c:v>
                  </c:pt>
                  <c:pt idx="36">
                    <c:v>New</c:v>
                  </c:pt>
                  <c:pt idx="37">
                    <c:v>New</c:v>
                  </c:pt>
                  <c:pt idx="38">
                    <c:v>New</c:v>
                  </c:pt>
                  <c:pt idx="39">
                    <c:v>Returning</c:v>
                  </c:pt>
                  <c:pt idx="40">
                    <c:v>Returning</c:v>
                  </c:pt>
                  <c:pt idx="41">
                    <c:v>Returning</c:v>
                  </c:pt>
                  <c:pt idx="42">
                    <c:v>Returning</c:v>
                  </c:pt>
                  <c:pt idx="43">
                    <c:v>New</c:v>
                  </c:pt>
                  <c:pt idx="44">
                    <c:v>New</c:v>
                  </c:pt>
                  <c:pt idx="45">
                    <c:v>Returning</c:v>
                  </c:pt>
                  <c:pt idx="46">
                    <c:v>Returning</c:v>
                  </c:pt>
                  <c:pt idx="47">
                    <c:v>Returning</c:v>
                  </c:pt>
                  <c:pt idx="48">
                    <c:v>New</c:v>
                  </c:pt>
                  <c:pt idx="49">
                    <c:v>New</c:v>
                  </c:pt>
                  <c:pt idx="50">
                    <c:v>Returning</c:v>
                  </c:pt>
                  <c:pt idx="51">
                    <c:v>Returning</c:v>
                  </c:pt>
                  <c:pt idx="52">
                    <c:v>Returning</c:v>
                  </c:pt>
                  <c:pt idx="53">
                    <c:v>New</c:v>
                  </c:pt>
                  <c:pt idx="54">
                    <c:v>New</c:v>
                  </c:pt>
                  <c:pt idx="55">
                    <c:v>New</c:v>
                  </c:pt>
                  <c:pt idx="56">
                    <c:v>Returning</c:v>
                  </c:pt>
                  <c:pt idx="57">
                    <c:v>New</c:v>
                  </c:pt>
                  <c:pt idx="58">
                    <c:v>New</c:v>
                  </c:pt>
                  <c:pt idx="59">
                    <c:v>New</c:v>
                  </c:pt>
                  <c:pt idx="60">
                    <c:v>Returning</c:v>
                  </c:pt>
                  <c:pt idx="61">
                    <c:v>New</c:v>
                  </c:pt>
                  <c:pt idx="62">
                    <c:v>New</c:v>
                  </c:pt>
                  <c:pt idx="63">
                    <c:v>New</c:v>
                  </c:pt>
                  <c:pt idx="64">
                    <c:v>Returning</c:v>
                  </c:pt>
                  <c:pt idx="65">
                    <c:v>New</c:v>
                  </c:pt>
                  <c:pt idx="66">
                    <c:v>New</c:v>
                  </c:pt>
                  <c:pt idx="67">
                    <c:v>New</c:v>
                  </c:pt>
                  <c:pt idx="68">
                    <c:v>New</c:v>
                  </c:pt>
                  <c:pt idx="69">
                    <c:v>VIP</c:v>
                  </c:pt>
                  <c:pt idx="70">
                    <c:v>Returning</c:v>
                  </c:pt>
                  <c:pt idx="71">
                    <c:v>New</c:v>
                  </c:pt>
                  <c:pt idx="72">
                    <c:v>New</c:v>
                  </c:pt>
                  <c:pt idx="73">
                    <c:v>Returning</c:v>
                  </c:pt>
                  <c:pt idx="74">
                    <c:v>New</c:v>
                  </c:pt>
                  <c:pt idx="75">
                    <c:v>VIP</c:v>
                  </c:pt>
                  <c:pt idx="76">
                    <c:v>VIP</c:v>
                  </c:pt>
                  <c:pt idx="77">
                    <c:v>New</c:v>
                  </c:pt>
                  <c:pt idx="78">
                    <c:v>Returning</c:v>
                  </c:pt>
                  <c:pt idx="79">
                    <c:v>Returning</c:v>
                  </c:pt>
                  <c:pt idx="80">
                    <c:v>New</c:v>
                  </c:pt>
                  <c:pt idx="81">
                    <c:v>Returning</c:v>
                  </c:pt>
                  <c:pt idx="82">
                    <c:v>Returning</c:v>
                  </c:pt>
                  <c:pt idx="83">
                    <c:v>New</c:v>
                  </c:pt>
                  <c:pt idx="84">
                    <c:v>New</c:v>
                  </c:pt>
                  <c:pt idx="85">
                    <c:v>VIP</c:v>
                  </c:pt>
                  <c:pt idx="86">
                    <c:v>Returning</c:v>
                  </c:pt>
                  <c:pt idx="87">
                    <c:v>Returning</c:v>
                  </c:pt>
                  <c:pt idx="88">
                    <c:v>Returning</c:v>
                  </c:pt>
                  <c:pt idx="89">
                    <c:v>New</c:v>
                  </c:pt>
                  <c:pt idx="90">
                    <c:v>New</c:v>
                  </c:pt>
                  <c:pt idx="91">
                    <c:v>Returning</c:v>
                  </c:pt>
                  <c:pt idx="92">
                    <c:v>Returning</c:v>
                  </c:pt>
                  <c:pt idx="93">
                    <c:v>New</c:v>
                  </c:pt>
                  <c:pt idx="94">
                    <c:v>New</c:v>
                  </c:pt>
                  <c:pt idx="95">
                    <c:v>Returning</c:v>
                  </c:pt>
                  <c:pt idx="96">
                    <c:v>New</c:v>
                  </c:pt>
                  <c:pt idx="97">
                    <c:v>New</c:v>
                  </c:pt>
                  <c:pt idx="98">
                    <c:v>New</c:v>
                  </c:pt>
                  <c:pt idx="99">
                    <c:v>Returning</c:v>
                  </c:pt>
                  <c:pt idx="100">
                    <c:v>Returning</c:v>
                  </c:pt>
                  <c:pt idx="101">
                    <c:v>New</c:v>
                  </c:pt>
                  <c:pt idx="102">
                    <c:v>Returning</c:v>
                  </c:pt>
                  <c:pt idx="103">
                    <c:v>Returning</c:v>
                  </c:pt>
                  <c:pt idx="104">
                    <c:v>Returning</c:v>
                  </c:pt>
                  <c:pt idx="105">
                    <c:v>Returning</c:v>
                  </c:pt>
                  <c:pt idx="106">
                    <c:v>VIP</c:v>
                  </c:pt>
                  <c:pt idx="107">
                    <c:v>Returning</c:v>
                  </c:pt>
                  <c:pt idx="108">
                    <c:v>New</c:v>
                  </c:pt>
                  <c:pt idx="109">
                    <c:v>Returning</c:v>
                  </c:pt>
                  <c:pt idx="110">
                    <c:v>New</c:v>
                  </c:pt>
                  <c:pt idx="111">
                    <c:v>Returning</c:v>
                  </c:pt>
                  <c:pt idx="112">
                    <c:v>New</c:v>
                  </c:pt>
                  <c:pt idx="113">
                    <c:v>Returning</c:v>
                  </c:pt>
                  <c:pt idx="114">
                    <c:v>VIP</c:v>
                  </c:pt>
                  <c:pt idx="115">
                    <c:v>New</c:v>
                  </c:pt>
                  <c:pt idx="116">
                    <c:v>VIP</c:v>
                  </c:pt>
                  <c:pt idx="117">
                    <c:v>VIP</c:v>
                  </c:pt>
                  <c:pt idx="118">
                    <c:v>New</c:v>
                  </c:pt>
                  <c:pt idx="119">
                    <c:v>Returning</c:v>
                  </c:pt>
                  <c:pt idx="120">
                    <c:v>New</c:v>
                  </c:pt>
                  <c:pt idx="121">
                    <c:v>Returning</c:v>
                  </c:pt>
                  <c:pt idx="122">
                    <c:v>New</c:v>
                  </c:pt>
                  <c:pt idx="123">
                    <c:v>VIP</c:v>
                  </c:pt>
                  <c:pt idx="124">
                    <c:v>New</c:v>
                  </c:pt>
                  <c:pt idx="125">
                    <c:v>New</c:v>
                  </c:pt>
                  <c:pt idx="126">
                    <c:v>VIP</c:v>
                  </c:pt>
                  <c:pt idx="127">
                    <c:v>VIP</c:v>
                  </c:pt>
                  <c:pt idx="128">
                    <c:v>Returning</c:v>
                  </c:pt>
                  <c:pt idx="129">
                    <c:v>VIP</c:v>
                  </c:pt>
                  <c:pt idx="130">
                    <c:v>Returning</c:v>
                  </c:pt>
                  <c:pt idx="131">
                    <c:v>New</c:v>
                  </c:pt>
                  <c:pt idx="132">
                    <c:v>Returning</c:v>
                  </c:pt>
                  <c:pt idx="133">
                    <c:v>New</c:v>
                  </c:pt>
                  <c:pt idx="134">
                    <c:v>Returning</c:v>
                  </c:pt>
                  <c:pt idx="135">
                    <c:v>New</c:v>
                  </c:pt>
                  <c:pt idx="136">
                    <c:v>New</c:v>
                  </c:pt>
                  <c:pt idx="137">
                    <c:v>New</c:v>
                  </c:pt>
                  <c:pt idx="138">
                    <c:v>New</c:v>
                  </c:pt>
                  <c:pt idx="139">
                    <c:v>New</c:v>
                  </c:pt>
                  <c:pt idx="140">
                    <c:v>New</c:v>
                  </c:pt>
                  <c:pt idx="141">
                    <c:v>New</c:v>
                  </c:pt>
                  <c:pt idx="142">
                    <c:v>Returning</c:v>
                  </c:pt>
                  <c:pt idx="143">
                    <c:v>New</c:v>
                  </c:pt>
                  <c:pt idx="144">
                    <c:v>New</c:v>
                  </c:pt>
                  <c:pt idx="145">
                    <c:v>New</c:v>
                  </c:pt>
                  <c:pt idx="146">
                    <c:v>Returning</c:v>
                  </c:pt>
                  <c:pt idx="147">
                    <c:v>New</c:v>
                  </c:pt>
                  <c:pt idx="148">
                    <c:v>New</c:v>
                  </c:pt>
                  <c:pt idx="149">
                    <c:v>VIP</c:v>
                  </c:pt>
                  <c:pt idx="150">
                    <c:v>New</c:v>
                  </c:pt>
                  <c:pt idx="151">
                    <c:v>New</c:v>
                  </c:pt>
                  <c:pt idx="152">
                    <c:v>New</c:v>
                  </c:pt>
                  <c:pt idx="153">
                    <c:v>Returning</c:v>
                  </c:pt>
                  <c:pt idx="154">
                    <c:v>New</c:v>
                  </c:pt>
                  <c:pt idx="155">
                    <c:v>New</c:v>
                  </c:pt>
                  <c:pt idx="156">
                    <c:v>New</c:v>
                  </c:pt>
                  <c:pt idx="157">
                    <c:v>VIP</c:v>
                  </c:pt>
                  <c:pt idx="158">
                    <c:v>New</c:v>
                  </c:pt>
                  <c:pt idx="159">
                    <c:v>New</c:v>
                  </c:pt>
                  <c:pt idx="160">
                    <c:v>New</c:v>
                  </c:pt>
                  <c:pt idx="161">
                    <c:v>VIP</c:v>
                  </c:pt>
                  <c:pt idx="162">
                    <c:v>Returning</c:v>
                  </c:pt>
                  <c:pt idx="163">
                    <c:v>Returning</c:v>
                  </c:pt>
                  <c:pt idx="164">
                    <c:v>New</c:v>
                  </c:pt>
                  <c:pt idx="165">
                    <c:v>Returning</c:v>
                  </c:pt>
                  <c:pt idx="166">
                    <c:v>Returning</c:v>
                  </c:pt>
                  <c:pt idx="167">
                    <c:v>Returning</c:v>
                  </c:pt>
                  <c:pt idx="168">
                    <c:v>VIP</c:v>
                  </c:pt>
                  <c:pt idx="169">
                    <c:v>Returning</c:v>
                  </c:pt>
                  <c:pt idx="170">
                    <c:v>Returning</c:v>
                  </c:pt>
                  <c:pt idx="171">
                    <c:v>Returning</c:v>
                  </c:pt>
                  <c:pt idx="172">
                    <c:v>New</c:v>
                  </c:pt>
                  <c:pt idx="173">
                    <c:v>New</c:v>
                  </c:pt>
                  <c:pt idx="174">
                    <c:v>New</c:v>
                  </c:pt>
                  <c:pt idx="175">
                    <c:v>Returning</c:v>
                  </c:pt>
                  <c:pt idx="176">
                    <c:v>New</c:v>
                  </c:pt>
                  <c:pt idx="177">
                    <c:v>VIP</c:v>
                  </c:pt>
                  <c:pt idx="178">
                    <c:v>Returning</c:v>
                  </c:pt>
                  <c:pt idx="179">
                    <c:v>New</c:v>
                  </c:pt>
                  <c:pt idx="180">
                    <c:v>New</c:v>
                  </c:pt>
                  <c:pt idx="181">
                    <c:v>New</c:v>
                  </c:pt>
                  <c:pt idx="182">
                    <c:v>New</c:v>
                  </c:pt>
                  <c:pt idx="183">
                    <c:v>Returning</c:v>
                  </c:pt>
                  <c:pt idx="184">
                    <c:v>New</c:v>
                  </c:pt>
                  <c:pt idx="185">
                    <c:v>Returning</c:v>
                  </c:pt>
                  <c:pt idx="186">
                    <c:v>Returning</c:v>
                  </c:pt>
                  <c:pt idx="187">
                    <c:v>Returning</c:v>
                  </c:pt>
                  <c:pt idx="188">
                    <c:v>Returning</c:v>
                  </c:pt>
                  <c:pt idx="189">
                    <c:v>Returning</c:v>
                  </c:pt>
                  <c:pt idx="190">
                    <c:v>Returning</c:v>
                  </c:pt>
                  <c:pt idx="191">
                    <c:v>Returning</c:v>
                  </c:pt>
                  <c:pt idx="192">
                    <c:v>Returning</c:v>
                  </c:pt>
                  <c:pt idx="193">
                    <c:v>Returning</c:v>
                  </c:pt>
                  <c:pt idx="194">
                    <c:v>New</c:v>
                  </c:pt>
                  <c:pt idx="195">
                    <c:v>New</c:v>
                  </c:pt>
                  <c:pt idx="196">
                    <c:v>VIP</c:v>
                  </c:pt>
                  <c:pt idx="197">
                    <c:v>Returning</c:v>
                  </c:pt>
                  <c:pt idx="198">
                    <c:v>New</c:v>
                  </c:pt>
                  <c:pt idx="199">
                    <c:v>Returning</c:v>
                  </c:pt>
                  <c:pt idx="200">
                    <c:v>Returning</c:v>
                  </c:pt>
                  <c:pt idx="201">
                    <c:v>New</c:v>
                  </c:pt>
                  <c:pt idx="202">
                    <c:v>Returning</c:v>
                  </c:pt>
                  <c:pt idx="203">
                    <c:v>Returning</c:v>
                  </c:pt>
                  <c:pt idx="204">
                    <c:v>New</c:v>
                  </c:pt>
                  <c:pt idx="205">
                    <c:v>New</c:v>
                  </c:pt>
                  <c:pt idx="206">
                    <c:v>New</c:v>
                  </c:pt>
                  <c:pt idx="207">
                    <c:v>New</c:v>
                  </c:pt>
                  <c:pt idx="208">
                    <c:v>Returning</c:v>
                  </c:pt>
                  <c:pt idx="209">
                    <c:v>Returning</c:v>
                  </c:pt>
                  <c:pt idx="210">
                    <c:v>New</c:v>
                  </c:pt>
                  <c:pt idx="211">
                    <c:v>New</c:v>
                  </c:pt>
                  <c:pt idx="212">
                    <c:v>VIP</c:v>
                  </c:pt>
                  <c:pt idx="213">
                    <c:v>New</c:v>
                  </c:pt>
                  <c:pt idx="214">
                    <c:v>Returning</c:v>
                  </c:pt>
                  <c:pt idx="215">
                    <c:v>VIP</c:v>
                  </c:pt>
                  <c:pt idx="216">
                    <c:v>Returning</c:v>
                  </c:pt>
                  <c:pt idx="217">
                    <c:v>New</c:v>
                  </c:pt>
                  <c:pt idx="218">
                    <c:v>New</c:v>
                  </c:pt>
                  <c:pt idx="219">
                    <c:v>Returning</c:v>
                  </c:pt>
                  <c:pt idx="220">
                    <c:v>New</c:v>
                  </c:pt>
                  <c:pt idx="221">
                    <c:v>Returning</c:v>
                  </c:pt>
                  <c:pt idx="222">
                    <c:v>VIP</c:v>
                  </c:pt>
                  <c:pt idx="223">
                    <c:v>New</c:v>
                  </c:pt>
                  <c:pt idx="224">
                    <c:v>VIP</c:v>
                  </c:pt>
                  <c:pt idx="225">
                    <c:v>New</c:v>
                  </c:pt>
                  <c:pt idx="226">
                    <c:v>Returning</c:v>
                  </c:pt>
                  <c:pt idx="227">
                    <c:v>VIP</c:v>
                  </c:pt>
                  <c:pt idx="228">
                    <c:v>New</c:v>
                  </c:pt>
                  <c:pt idx="229">
                    <c:v>New</c:v>
                  </c:pt>
                  <c:pt idx="230">
                    <c:v>Returning</c:v>
                  </c:pt>
                  <c:pt idx="231">
                    <c:v>Returning</c:v>
                  </c:pt>
                  <c:pt idx="232">
                    <c:v>New</c:v>
                  </c:pt>
                  <c:pt idx="233">
                    <c:v>Returning</c:v>
                  </c:pt>
                  <c:pt idx="234">
                    <c:v>New</c:v>
                  </c:pt>
                  <c:pt idx="235">
                    <c:v>New</c:v>
                  </c:pt>
                  <c:pt idx="236">
                    <c:v>VIP</c:v>
                  </c:pt>
                  <c:pt idx="237">
                    <c:v>VIP</c:v>
                  </c:pt>
                  <c:pt idx="238">
                    <c:v>Returning</c:v>
                  </c:pt>
                  <c:pt idx="239">
                    <c:v>New</c:v>
                  </c:pt>
                  <c:pt idx="240">
                    <c:v>New</c:v>
                  </c:pt>
                  <c:pt idx="241">
                    <c:v>New</c:v>
                  </c:pt>
                  <c:pt idx="242">
                    <c:v>New</c:v>
                  </c:pt>
                  <c:pt idx="243">
                    <c:v>VIP</c:v>
                  </c:pt>
                  <c:pt idx="244">
                    <c:v>New</c:v>
                  </c:pt>
                  <c:pt idx="245">
                    <c:v>Returning</c:v>
                  </c:pt>
                  <c:pt idx="246">
                    <c:v>Returning</c:v>
                  </c:pt>
                  <c:pt idx="247">
                    <c:v>VIP</c:v>
                  </c:pt>
                  <c:pt idx="248">
                    <c:v>New</c:v>
                  </c:pt>
                  <c:pt idx="249">
                    <c:v>Returning</c:v>
                  </c:pt>
                  <c:pt idx="250">
                    <c:v>VIP</c:v>
                  </c:pt>
                  <c:pt idx="251">
                    <c:v>New</c:v>
                  </c:pt>
                  <c:pt idx="252">
                    <c:v>Returning</c:v>
                  </c:pt>
                  <c:pt idx="253">
                    <c:v>Returning</c:v>
                  </c:pt>
                  <c:pt idx="254">
                    <c:v>New</c:v>
                  </c:pt>
                  <c:pt idx="255">
                    <c:v>New</c:v>
                  </c:pt>
                  <c:pt idx="256">
                    <c:v>New</c:v>
                  </c:pt>
                  <c:pt idx="257">
                    <c:v>Returning</c:v>
                  </c:pt>
                  <c:pt idx="258">
                    <c:v>New</c:v>
                  </c:pt>
                  <c:pt idx="259">
                    <c:v>Returning</c:v>
                  </c:pt>
                  <c:pt idx="260">
                    <c:v>VIP</c:v>
                  </c:pt>
                  <c:pt idx="261">
                    <c:v>VIP</c:v>
                  </c:pt>
                  <c:pt idx="262">
                    <c:v>New</c:v>
                  </c:pt>
                  <c:pt idx="263">
                    <c:v>VIP</c:v>
                  </c:pt>
                  <c:pt idx="264">
                    <c:v>Returning</c:v>
                  </c:pt>
                  <c:pt idx="265">
                    <c:v>New</c:v>
                  </c:pt>
                  <c:pt idx="266">
                    <c:v>New</c:v>
                  </c:pt>
                  <c:pt idx="267">
                    <c:v>Returning</c:v>
                  </c:pt>
                  <c:pt idx="268">
                    <c:v>New</c:v>
                  </c:pt>
                  <c:pt idx="269">
                    <c:v>VIP</c:v>
                  </c:pt>
                  <c:pt idx="270">
                    <c:v>New</c:v>
                  </c:pt>
                  <c:pt idx="271">
                    <c:v>Returning</c:v>
                  </c:pt>
                  <c:pt idx="272">
                    <c:v>Returning</c:v>
                  </c:pt>
                  <c:pt idx="273">
                    <c:v>VIP</c:v>
                  </c:pt>
                  <c:pt idx="274">
                    <c:v>VIP</c:v>
                  </c:pt>
                  <c:pt idx="275">
                    <c:v>New</c:v>
                  </c:pt>
                  <c:pt idx="276">
                    <c:v>Returning</c:v>
                  </c:pt>
                  <c:pt idx="277">
                    <c:v>New</c:v>
                  </c:pt>
                  <c:pt idx="278">
                    <c:v>Returning</c:v>
                  </c:pt>
                  <c:pt idx="279">
                    <c:v>New</c:v>
                  </c:pt>
                  <c:pt idx="280">
                    <c:v>New</c:v>
                  </c:pt>
                  <c:pt idx="281">
                    <c:v>New</c:v>
                  </c:pt>
                  <c:pt idx="282">
                    <c:v>New</c:v>
                  </c:pt>
                  <c:pt idx="283">
                    <c:v>VIP</c:v>
                  </c:pt>
                  <c:pt idx="284">
                    <c:v>New</c:v>
                  </c:pt>
                  <c:pt idx="285">
                    <c:v>VIP</c:v>
                  </c:pt>
                  <c:pt idx="286">
                    <c:v>New</c:v>
                  </c:pt>
                  <c:pt idx="287">
                    <c:v>New</c:v>
                  </c:pt>
                  <c:pt idx="288">
                    <c:v>New</c:v>
                  </c:pt>
                  <c:pt idx="289">
                    <c:v>Returning</c:v>
                  </c:pt>
                  <c:pt idx="290">
                    <c:v>Returning</c:v>
                  </c:pt>
                  <c:pt idx="291">
                    <c:v>Returning</c:v>
                  </c:pt>
                  <c:pt idx="292">
                    <c:v>New</c:v>
                  </c:pt>
                  <c:pt idx="293">
                    <c:v>New</c:v>
                  </c:pt>
                  <c:pt idx="294">
                    <c:v>Returning</c:v>
                  </c:pt>
                  <c:pt idx="295">
                    <c:v>New</c:v>
                  </c:pt>
                  <c:pt idx="296">
                    <c:v>New</c:v>
                  </c:pt>
                  <c:pt idx="297">
                    <c:v>New</c:v>
                  </c:pt>
                  <c:pt idx="298">
                    <c:v>VIP</c:v>
                  </c:pt>
                  <c:pt idx="299">
                    <c:v>New</c:v>
                  </c:pt>
                </c:lvl>
                <c:lvl>
                  <c:pt idx="0">
                    <c:v>3.8</c:v>
                  </c:pt>
                  <c:pt idx="1">
                    <c:v>21.6</c:v>
                  </c:pt>
                  <c:pt idx="2">
                    <c:v>15.7</c:v>
                  </c:pt>
                  <c:pt idx="3">
                    <c:v>22.0</c:v>
                  </c:pt>
                  <c:pt idx="4">
                    <c:v>18.3</c:v>
                  </c:pt>
                  <c:pt idx="5">
                    <c:v>22.8</c:v>
                  </c:pt>
                  <c:pt idx="6">
                    <c:v>21.3</c:v>
                  </c:pt>
                  <c:pt idx="7">
                    <c:v>22.5</c:v>
                  </c:pt>
                  <c:pt idx="8">
                    <c:v>9.3</c:v>
                  </c:pt>
                  <c:pt idx="9">
                    <c:v>17.6</c:v>
                  </c:pt>
                  <c:pt idx="10">
                    <c:v>3.0</c:v>
                  </c:pt>
                  <c:pt idx="11">
                    <c:v>24.6</c:v>
                  </c:pt>
                  <c:pt idx="12">
                    <c:v>2.1</c:v>
                  </c:pt>
                  <c:pt idx="13">
                    <c:v>7.2</c:v>
                  </c:pt>
                  <c:pt idx="14">
                    <c:v>3.1</c:v>
                  </c:pt>
                  <c:pt idx="15">
                    <c:v>4.1</c:v>
                  </c:pt>
                  <c:pt idx="16">
                    <c:v>1.6</c:v>
                  </c:pt>
                  <c:pt idx="17">
                    <c:v>21.0</c:v>
                  </c:pt>
                  <c:pt idx="18">
                    <c:v>4.7</c:v>
                  </c:pt>
                  <c:pt idx="19">
                    <c:v>7.8</c:v>
                  </c:pt>
                  <c:pt idx="20">
                    <c:v>24.8</c:v>
                  </c:pt>
                  <c:pt idx="21">
                    <c:v>4.6</c:v>
                  </c:pt>
                  <c:pt idx="22">
                    <c:v>1.6</c:v>
                  </c:pt>
                  <c:pt idx="23">
                    <c:v>16.1</c:v>
                  </c:pt>
                  <c:pt idx="24">
                    <c:v>21.4</c:v>
                  </c:pt>
                  <c:pt idx="25">
                    <c:v>8.6</c:v>
                  </c:pt>
                  <c:pt idx="26">
                    <c:v>8.9</c:v>
                  </c:pt>
                  <c:pt idx="27">
                    <c:v>2.5</c:v>
                  </c:pt>
                  <c:pt idx="28">
                    <c:v>11.2</c:v>
                  </c:pt>
                  <c:pt idx="29">
                    <c:v>16.2</c:v>
                  </c:pt>
                  <c:pt idx="30">
                    <c:v>13.8</c:v>
                  </c:pt>
                  <c:pt idx="31">
                    <c:v>19.3</c:v>
                  </c:pt>
                  <c:pt idx="32">
                    <c:v>8.0</c:v>
                  </c:pt>
                  <c:pt idx="33">
                    <c:v>25.8</c:v>
                  </c:pt>
                  <c:pt idx="34">
                    <c:v>8.4</c:v>
                  </c:pt>
                  <c:pt idx="35">
                    <c:v>25.2</c:v>
                  </c:pt>
                  <c:pt idx="36">
                    <c:v>26.6</c:v>
                  </c:pt>
                  <c:pt idx="37">
                    <c:v>8.7</c:v>
                  </c:pt>
                  <c:pt idx="38">
                    <c:v>3.7</c:v>
                  </c:pt>
                  <c:pt idx="39">
                    <c:v>14.0</c:v>
                  </c:pt>
                  <c:pt idx="40">
                    <c:v>14.0</c:v>
                  </c:pt>
                  <c:pt idx="41">
                    <c:v>16.8</c:v>
                  </c:pt>
                  <c:pt idx="42">
                    <c:v>15.6</c:v>
                  </c:pt>
                  <c:pt idx="43">
                    <c:v>13.0</c:v>
                  </c:pt>
                  <c:pt idx="44">
                    <c:v>21.4</c:v>
                  </c:pt>
                  <c:pt idx="45">
                    <c:v>15.2</c:v>
                  </c:pt>
                  <c:pt idx="46">
                    <c:v>11.3</c:v>
                  </c:pt>
                  <c:pt idx="47">
                    <c:v>9.9</c:v>
                  </c:pt>
                  <c:pt idx="48">
                    <c:v>20.3</c:v>
                  </c:pt>
                  <c:pt idx="49">
                    <c:v>13.2</c:v>
                  </c:pt>
                  <c:pt idx="50">
                    <c:v>27.8</c:v>
                  </c:pt>
                  <c:pt idx="51">
                    <c:v>16.6</c:v>
                  </c:pt>
                  <c:pt idx="52">
                    <c:v>14.0</c:v>
                  </c:pt>
                  <c:pt idx="53">
                    <c:v>15.9</c:v>
                  </c:pt>
                  <c:pt idx="54">
                    <c:v>15.8</c:v>
                  </c:pt>
                  <c:pt idx="55">
                    <c:v>16.8</c:v>
                  </c:pt>
                  <c:pt idx="56">
                    <c:v>24.2</c:v>
                  </c:pt>
                  <c:pt idx="57">
                    <c:v>24.4</c:v>
                  </c:pt>
                  <c:pt idx="58">
                    <c:v>26.1</c:v>
                  </c:pt>
                  <c:pt idx="59">
                    <c:v>7.5</c:v>
                  </c:pt>
                  <c:pt idx="60">
                    <c:v>11.7</c:v>
                  </c:pt>
                  <c:pt idx="61">
                    <c:v>23.7</c:v>
                  </c:pt>
                  <c:pt idx="62">
                    <c:v>24.2</c:v>
                  </c:pt>
                  <c:pt idx="63">
                    <c:v>24.5</c:v>
                  </c:pt>
                  <c:pt idx="64">
                    <c:v>24.1</c:v>
                  </c:pt>
                  <c:pt idx="65">
                    <c:v>27.9</c:v>
                  </c:pt>
                  <c:pt idx="66">
                    <c:v>12.9</c:v>
                  </c:pt>
                  <c:pt idx="67">
                    <c:v>13.7</c:v>
                  </c:pt>
                  <c:pt idx="68">
                    <c:v>13.6</c:v>
                  </c:pt>
                  <c:pt idx="69">
                    <c:v>16.5</c:v>
                  </c:pt>
                  <c:pt idx="70">
                    <c:v>18.1</c:v>
                  </c:pt>
                  <c:pt idx="71">
                    <c:v>5.0</c:v>
                  </c:pt>
                  <c:pt idx="72">
                    <c:v>27.1</c:v>
                  </c:pt>
                  <c:pt idx="73">
                    <c:v>4.4</c:v>
                  </c:pt>
                  <c:pt idx="74">
                    <c:v>9.6</c:v>
                  </c:pt>
                  <c:pt idx="75">
                    <c:v>23.6</c:v>
                  </c:pt>
                  <c:pt idx="76">
                    <c:v>3.9</c:v>
                  </c:pt>
                  <c:pt idx="77">
                    <c:v>7.2</c:v>
                  </c:pt>
                  <c:pt idx="78">
                    <c:v>11.0</c:v>
                  </c:pt>
                  <c:pt idx="79">
                    <c:v>17.2</c:v>
                  </c:pt>
                  <c:pt idx="80">
                    <c:v>19.7</c:v>
                  </c:pt>
                  <c:pt idx="81">
                    <c:v>15.6</c:v>
                  </c:pt>
                  <c:pt idx="82">
                    <c:v>12.5</c:v>
                  </c:pt>
                  <c:pt idx="83">
                    <c:v>4.1</c:v>
                  </c:pt>
                  <c:pt idx="84">
                    <c:v>9.8</c:v>
                  </c:pt>
                  <c:pt idx="85">
                    <c:v>22.9</c:v>
                  </c:pt>
                  <c:pt idx="86">
                    <c:v>16.5</c:v>
                  </c:pt>
                  <c:pt idx="87">
                    <c:v>20.6</c:v>
                  </c:pt>
                  <c:pt idx="88">
                    <c:v>8.7</c:v>
                  </c:pt>
                  <c:pt idx="89">
                    <c:v>3.0</c:v>
                  </c:pt>
                  <c:pt idx="90">
                    <c:v>23.6</c:v>
                  </c:pt>
                  <c:pt idx="91">
                    <c:v>9.2</c:v>
                  </c:pt>
                  <c:pt idx="92">
                    <c:v>12.0</c:v>
                  </c:pt>
                  <c:pt idx="93">
                    <c:v>7.8</c:v>
                  </c:pt>
                  <c:pt idx="94">
                    <c:v>10.1</c:v>
                  </c:pt>
                  <c:pt idx="95">
                    <c:v>13.7</c:v>
                  </c:pt>
                  <c:pt idx="96">
                    <c:v>13.4</c:v>
                  </c:pt>
                  <c:pt idx="97">
                    <c:v>20.3</c:v>
                  </c:pt>
                  <c:pt idx="98">
                    <c:v>9.0</c:v>
                  </c:pt>
                  <c:pt idx="99">
                    <c:v>11.5</c:v>
                  </c:pt>
                  <c:pt idx="100">
                    <c:v>26.6</c:v>
                  </c:pt>
                  <c:pt idx="101">
                    <c:v>17.3</c:v>
                  </c:pt>
                  <c:pt idx="102">
                    <c:v>7.7</c:v>
                  </c:pt>
                  <c:pt idx="103">
                    <c:v>12.6</c:v>
                  </c:pt>
                  <c:pt idx="104">
                    <c:v>13.4</c:v>
                  </c:pt>
                  <c:pt idx="105">
                    <c:v>11.7</c:v>
                  </c:pt>
                  <c:pt idx="106">
                    <c:v>13.4</c:v>
                  </c:pt>
                  <c:pt idx="107">
                    <c:v>4.7</c:v>
                  </c:pt>
                  <c:pt idx="108">
                    <c:v>10.8</c:v>
                  </c:pt>
                  <c:pt idx="109">
                    <c:v>11.8</c:v>
                  </c:pt>
                  <c:pt idx="110">
                    <c:v>16.0</c:v>
                  </c:pt>
                  <c:pt idx="111">
                    <c:v>6.8</c:v>
                  </c:pt>
                  <c:pt idx="112">
                    <c:v>8.7</c:v>
                  </c:pt>
                  <c:pt idx="113">
                    <c:v>20.8</c:v>
                  </c:pt>
                  <c:pt idx="114">
                    <c:v>20.8</c:v>
                  </c:pt>
                  <c:pt idx="115">
                    <c:v>26.7</c:v>
                  </c:pt>
                  <c:pt idx="116">
                    <c:v>21.7</c:v>
                  </c:pt>
                  <c:pt idx="117">
                    <c:v>4.6</c:v>
                  </c:pt>
                  <c:pt idx="118">
                    <c:v>23.0</c:v>
                  </c:pt>
                  <c:pt idx="119">
                    <c:v>4.7</c:v>
                  </c:pt>
                  <c:pt idx="120">
                    <c:v>15.4</c:v>
                  </c:pt>
                  <c:pt idx="121">
                    <c:v>6.3</c:v>
                  </c:pt>
                  <c:pt idx="122">
                    <c:v>8.1</c:v>
                  </c:pt>
                  <c:pt idx="123">
                    <c:v>20.6</c:v>
                  </c:pt>
                  <c:pt idx="124">
                    <c:v>9.2</c:v>
                  </c:pt>
                  <c:pt idx="125">
                    <c:v>10.5</c:v>
                  </c:pt>
                  <c:pt idx="126">
                    <c:v>5.2</c:v>
                  </c:pt>
                  <c:pt idx="127">
                    <c:v>13.9</c:v>
                  </c:pt>
                  <c:pt idx="128">
                    <c:v>9.1</c:v>
                  </c:pt>
                  <c:pt idx="129">
                    <c:v>11.1</c:v>
                  </c:pt>
                  <c:pt idx="130">
                    <c:v>21.5</c:v>
                  </c:pt>
                  <c:pt idx="131">
                    <c:v>26.2</c:v>
                  </c:pt>
                  <c:pt idx="132">
                    <c:v>19.4</c:v>
                  </c:pt>
                  <c:pt idx="133">
                    <c:v>20.6</c:v>
                  </c:pt>
                  <c:pt idx="134">
                    <c:v>12.4</c:v>
                  </c:pt>
                  <c:pt idx="135">
                    <c:v>28.0</c:v>
                  </c:pt>
                  <c:pt idx="136">
                    <c:v>7.5</c:v>
                  </c:pt>
                  <c:pt idx="137">
                    <c:v>16.7</c:v>
                  </c:pt>
                  <c:pt idx="138">
                    <c:v>23.4</c:v>
                  </c:pt>
                  <c:pt idx="139">
                    <c:v>20.5</c:v>
                  </c:pt>
                  <c:pt idx="140">
                    <c:v>7.7</c:v>
                  </c:pt>
                  <c:pt idx="141">
                    <c:v>9.4</c:v>
                  </c:pt>
                  <c:pt idx="142">
                    <c:v>18.7</c:v>
                  </c:pt>
                  <c:pt idx="143">
                    <c:v>3.8</c:v>
                  </c:pt>
                  <c:pt idx="144">
                    <c:v>1.8</c:v>
                  </c:pt>
                  <c:pt idx="145">
                    <c:v>11.2</c:v>
                  </c:pt>
                  <c:pt idx="146">
                    <c:v>15.4</c:v>
                  </c:pt>
                  <c:pt idx="147">
                    <c:v>24.1</c:v>
                  </c:pt>
                  <c:pt idx="148">
                    <c:v>20.7</c:v>
                  </c:pt>
                  <c:pt idx="149">
                    <c:v>12.3</c:v>
                  </c:pt>
                  <c:pt idx="150">
                    <c:v>27.8</c:v>
                  </c:pt>
                  <c:pt idx="151">
                    <c:v>8.1</c:v>
                  </c:pt>
                  <c:pt idx="152">
                    <c:v>19.3</c:v>
                  </c:pt>
                  <c:pt idx="153">
                    <c:v>10.0</c:v>
                  </c:pt>
                  <c:pt idx="154">
                    <c:v>16.2</c:v>
                  </c:pt>
                  <c:pt idx="155">
                    <c:v>14.0</c:v>
                  </c:pt>
                  <c:pt idx="156">
                    <c:v>25.9</c:v>
                  </c:pt>
                  <c:pt idx="157">
                    <c:v>20.7</c:v>
                  </c:pt>
                  <c:pt idx="158">
                    <c:v>12.0</c:v>
                  </c:pt>
                  <c:pt idx="159">
                    <c:v>21.7</c:v>
                  </c:pt>
                  <c:pt idx="160">
                    <c:v>10.2</c:v>
                  </c:pt>
                  <c:pt idx="161">
                    <c:v>6.0</c:v>
                  </c:pt>
                  <c:pt idx="162">
                    <c:v>3.3</c:v>
                  </c:pt>
                  <c:pt idx="163">
                    <c:v>12.4</c:v>
                  </c:pt>
                  <c:pt idx="164">
                    <c:v>23.1</c:v>
                  </c:pt>
                  <c:pt idx="165">
                    <c:v>11.6</c:v>
                  </c:pt>
                  <c:pt idx="166">
                    <c:v>14.1</c:v>
                  </c:pt>
                  <c:pt idx="167">
                    <c:v>26.1</c:v>
                  </c:pt>
                  <c:pt idx="168">
                    <c:v>13.1</c:v>
                  </c:pt>
                  <c:pt idx="169">
                    <c:v>10.9</c:v>
                  </c:pt>
                  <c:pt idx="170">
                    <c:v>21.1</c:v>
                  </c:pt>
                  <c:pt idx="171">
                    <c:v>16.2</c:v>
                  </c:pt>
                  <c:pt idx="172">
                    <c:v>16.7</c:v>
                  </c:pt>
                  <c:pt idx="173">
                    <c:v>11.1</c:v>
                  </c:pt>
                  <c:pt idx="174">
                    <c:v>5.1</c:v>
                  </c:pt>
                  <c:pt idx="175">
                    <c:v>11.2</c:v>
                  </c:pt>
                  <c:pt idx="176">
                    <c:v>5.2</c:v>
                  </c:pt>
                  <c:pt idx="177">
                    <c:v>15.9</c:v>
                  </c:pt>
                  <c:pt idx="178">
                    <c:v>27.1</c:v>
                  </c:pt>
                  <c:pt idx="179">
                    <c:v>13.8</c:v>
                  </c:pt>
                  <c:pt idx="180">
                    <c:v>10.7</c:v>
                  </c:pt>
                  <c:pt idx="181">
                    <c:v>15.2</c:v>
                  </c:pt>
                  <c:pt idx="182">
                    <c:v>12.9</c:v>
                  </c:pt>
                  <c:pt idx="183">
                    <c:v>4.5</c:v>
                  </c:pt>
                  <c:pt idx="184">
                    <c:v>25.8</c:v>
                  </c:pt>
                  <c:pt idx="185">
                    <c:v>12.7</c:v>
                  </c:pt>
                  <c:pt idx="186">
                    <c:v>14.3</c:v>
                  </c:pt>
                  <c:pt idx="187">
                    <c:v>2.3</c:v>
                  </c:pt>
                  <c:pt idx="188">
                    <c:v>15.9</c:v>
                  </c:pt>
                  <c:pt idx="189">
                    <c:v>13.1</c:v>
                  </c:pt>
                  <c:pt idx="190">
                    <c:v>10.8</c:v>
                  </c:pt>
                  <c:pt idx="191">
                    <c:v>24.5</c:v>
                  </c:pt>
                  <c:pt idx="192">
                    <c:v>12.2</c:v>
                  </c:pt>
                  <c:pt idx="193">
                    <c:v>12.0</c:v>
                  </c:pt>
                  <c:pt idx="194">
                    <c:v>18.1</c:v>
                  </c:pt>
                  <c:pt idx="195">
                    <c:v>4.0</c:v>
                  </c:pt>
                  <c:pt idx="196">
                    <c:v>5.0</c:v>
                  </c:pt>
                  <c:pt idx="197">
                    <c:v>3.9</c:v>
                  </c:pt>
                  <c:pt idx="198">
                    <c:v>10.8</c:v>
                  </c:pt>
                  <c:pt idx="199">
                    <c:v>9.8</c:v>
                  </c:pt>
                  <c:pt idx="200">
                    <c:v>9.3</c:v>
                  </c:pt>
                  <c:pt idx="201">
                    <c:v>12.7</c:v>
                  </c:pt>
                  <c:pt idx="202">
                    <c:v>9.1</c:v>
                  </c:pt>
                  <c:pt idx="203">
                    <c:v>27.3</c:v>
                  </c:pt>
                  <c:pt idx="204">
                    <c:v>13.5</c:v>
                  </c:pt>
                  <c:pt idx="205">
                    <c:v>15.2</c:v>
                  </c:pt>
                  <c:pt idx="206">
                    <c:v>18.1</c:v>
                  </c:pt>
                  <c:pt idx="207">
                    <c:v>1.6</c:v>
                  </c:pt>
                  <c:pt idx="208">
                    <c:v>23.4</c:v>
                  </c:pt>
                  <c:pt idx="209">
                    <c:v>3.8</c:v>
                  </c:pt>
                  <c:pt idx="210">
                    <c:v>1.7</c:v>
                  </c:pt>
                  <c:pt idx="211">
                    <c:v>15.5</c:v>
                  </c:pt>
                  <c:pt idx="212">
                    <c:v>14.9</c:v>
                  </c:pt>
                  <c:pt idx="213">
                    <c:v>9.9</c:v>
                  </c:pt>
                  <c:pt idx="214">
                    <c:v>9.7</c:v>
                  </c:pt>
                  <c:pt idx="215">
                    <c:v>20.3</c:v>
                  </c:pt>
                  <c:pt idx="216">
                    <c:v>1.8</c:v>
                  </c:pt>
                  <c:pt idx="217">
                    <c:v>6.7</c:v>
                  </c:pt>
                  <c:pt idx="218">
                    <c:v>19.6</c:v>
                  </c:pt>
                  <c:pt idx="219">
                    <c:v>24.9</c:v>
                  </c:pt>
                  <c:pt idx="220">
                    <c:v>15.9</c:v>
                  </c:pt>
                  <c:pt idx="221">
                    <c:v>21.8</c:v>
                  </c:pt>
                  <c:pt idx="222">
                    <c:v>7.8</c:v>
                  </c:pt>
                  <c:pt idx="223">
                    <c:v>6.2</c:v>
                  </c:pt>
                  <c:pt idx="224">
                    <c:v>2.1</c:v>
                  </c:pt>
                  <c:pt idx="225">
                    <c:v>10.0</c:v>
                  </c:pt>
                  <c:pt idx="226">
                    <c:v>9.6</c:v>
                  </c:pt>
                  <c:pt idx="227">
                    <c:v>18.5</c:v>
                  </c:pt>
                  <c:pt idx="228">
                    <c:v>10.8</c:v>
                  </c:pt>
                  <c:pt idx="229">
                    <c:v>23.5</c:v>
                  </c:pt>
                  <c:pt idx="230">
                    <c:v>5.8</c:v>
                  </c:pt>
                  <c:pt idx="231">
                    <c:v>4.2</c:v>
                  </c:pt>
                  <c:pt idx="232">
                    <c:v>2.9</c:v>
                  </c:pt>
                  <c:pt idx="233">
                    <c:v>23.9</c:v>
                  </c:pt>
                  <c:pt idx="234">
                    <c:v>8.5</c:v>
                  </c:pt>
                  <c:pt idx="235">
                    <c:v>3.1</c:v>
                  </c:pt>
                  <c:pt idx="236">
                    <c:v>25.4</c:v>
                  </c:pt>
                  <c:pt idx="237">
                    <c:v>27.7</c:v>
                  </c:pt>
                  <c:pt idx="238">
                    <c:v>25.8</c:v>
                  </c:pt>
                  <c:pt idx="239">
                    <c:v>24.8</c:v>
                  </c:pt>
                  <c:pt idx="240">
                    <c:v>2.8</c:v>
                  </c:pt>
                  <c:pt idx="241">
                    <c:v>27.3</c:v>
                  </c:pt>
                  <c:pt idx="242">
                    <c:v>3.2</c:v>
                  </c:pt>
                  <c:pt idx="243">
                    <c:v>25.8</c:v>
                  </c:pt>
                  <c:pt idx="244">
                    <c:v>10.8</c:v>
                  </c:pt>
                  <c:pt idx="245">
                    <c:v>19.5</c:v>
                  </c:pt>
                  <c:pt idx="246">
                    <c:v>12.7</c:v>
                  </c:pt>
                  <c:pt idx="247">
                    <c:v>16.4</c:v>
                  </c:pt>
                  <c:pt idx="248">
                    <c:v>22.8</c:v>
                  </c:pt>
                  <c:pt idx="249">
                    <c:v>17.0</c:v>
                  </c:pt>
                  <c:pt idx="250">
                    <c:v>9.3</c:v>
                  </c:pt>
                  <c:pt idx="251">
                    <c:v>12.6</c:v>
                  </c:pt>
                  <c:pt idx="252">
                    <c:v>15.5</c:v>
                  </c:pt>
                  <c:pt idx="253">
                    <c:v>10.3</c:v>
                  </c:pt>
                  <c:pt idx="254">
                    <c:v>12.9</c:v>
                  </c:pt>
                  <c:pt idx="255">
                    <c:v>18.1</c:v>
                  </c:pt>
                  <c:pt idx="256">
                    <c:v>25.0</c:v>
                  </c:pt>
                  <c:pt idx="257">
                    <c:v>17.1</c:v>
                  </c:pt>
                  <c:pt idx="258">
                    <c:v>19.8</c:v>
                  </c:pt>
                  <c:pt idx="259">
                    <c:v>8.7</c:v>
                  </c:pt>
                  <c:pt idx="260">
                    <c:v>11.0</c:v>
                  </c:pt>
                  <c:pt idx="261">
                    <c:v>19.2</c:v>
                  </c:pt>
                  <c:pt idx="262">
                    <c:v>11.0</c:v>
                  </c:pt>
                  <c:pt idx="263">
                    <c:v>8.6</c:v>
                  </c:pt>
                  <c:pt idx="264">
                    <c:v>19.9</c:v>
                  </c:pt>
                  <c:pt idx="265">
                    <c:v>24.4</c:v>
                  </c:pt>
                  <c:pt idx="266">
                    <c:v>27.4</c:v>
                  </c:pt>
                  <c:pt idx="267">
                    <c:v>25.1</c:v>
                  </c:pt>
                  <c:pt idx="268">
                    <c:v>16.1</c:v>
                  </c:pt>
                  <c:pt idx="269">
                    <c:v>4.2</c:v>
                  </c:pt>
                  <c:pt idx="270">
                    <c:v>23.9</c:v>
                  </c:pt>
                  <c:pt idx="271">
                    <c:v>16.0</c:v>
                  </c:pt>
                  <c:pt idx="272">
                    <c:v>13.6</c:v>
                  </c:pt>
                  <c:pt idx="273">
                    <c:v>27.0</c:v>
                  </c:pt>
                  <c:pt idx="274">
                    <c:v>14.9</c:v>
                  </c:pt>
                  <c:pt idx="275">
                    <c:v>9.4</c:v>
                  </c:pt>
                  <c:pt idx="276">
                    <c:v>14.9</c:v>
                  </c:pt>
                  <c:pt idx="277">
                    <c:v>4.3</c:v>
                  </c:pt>
                  <c:pt idx="278">
                    <c:v>11.0</c:v>
                  </c:pt>
                  <c:pt idx="279">
                    <c:v>26.1</c:v>
                  </c:pt>
                  <c:pt idx="280">
                    <c:v>9.3</c:v>
                  </c:pt>
                  <c:pt idx="281">
                    <c:v>23.9</c:v>
                  </c:pt>
                  <c:pt idx="282">
                    <c:v>22.3</c:v>
                  </c:pt>
                  <c:pt idx="283">
                    <c:v>19.1</c:v>
                  </c:pt>
                  <c:pt idx="284">
                    <c:v>26.9</c:v>
                  </c:pt>
                  <c:pt idx="285">
                    <c:v>13.3</c:v>
                  </c:pt>
                  <c:pt idx="286">
                    <c:v>23.6</c:v>
                  </c:pt>
                  <c:pt idx="287">
                    <c:v>6.2</c:v>
                  </c:pt>
                  <c:pt idx="288">
                    <c:v>3.2</c:v>
                  </c:pt>
                  <c:pt idx="289">
                    <c:v>23.3</c:v>
                  </c:pt>
                  <c:pt idx="290">
                    <c:v>4.8</c:v>
                  </c:pt>
                  <c:pt idx="291">
                    <c:v>6.4</c:v>
                  </c:pt>
                  <c:pt idx="292">
                    <c:v>14.4</c:v>
                  </c:pt>
                  <c:pt idx="293">
                    <c:v>19.9</c:v>
                  </c:pt>
                  <c:pt idx="294">
                    <c:v>13.3</c:v>
                  </c:pt>
                  <c:pt idx="295">
                    <c:v>25.1</c:v>
                  </c:pt>
                  <c:pt idx="296">
                    <c:v>7.4</c:v>
                  </c:pt>
                  <c:pt idx="297">
                    <c:v>13.3</c:v>
                  </c:pt>
                  <c:pt idx="298">
                    <c:v>11.8</c:v>
                  </c:pt>
                  <c:pt idx="299">
                    <c:v>11.5</c:v>
                  </c:pt>
                </c:lvl>
                <c:lvl>
                  <c:pt idx="0">
                    <c:v>No</c:v>
                  </c:pt>
                  <c:pt idx="1">
                    <c:v>No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1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No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No</c:v>
                  </c:pt>
                  <c:pt idx="36">
                    <c:v>No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No</c:v>
                  </c:pt>
                  <c:pt idx="43">
                    <c:v>No</c:v>
                  </c:pt>
                  <c:pt idx="44">
                    <c:v>No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Yes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No</c:v>
                  </c:pt>
                  <c:pt idx="67">
                    <c:v>No</c:v>
                  </c:pt>
                  <c:pt idx="68">
                    <c:v>No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Yes</c:v>
                  </c:pt>
                  <c:pt idx="79">
                    <c:v>No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No</c:v>
                  </c:pt>
                  <c:pt idx="84">
                    <c:v>No</c:v>
                  </c:pt>
                  <c:pt idx="85">
                    <c:v>Yes</c:v>
                  </c:pt>
                  <c:pt idx="86">
                    <c:v>Yes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No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No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No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Yes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Yes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No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Yes</c:v>
                  </c:pt>
                  <c:pt idx="149">
                    <c:v>No</c:v>
                  </c:pt>
                  <c:pt idx="150">
                    <c:v>Yes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Yes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No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</c:lvl>
                <c:lvl>
                  <c:pt idx="0">
                    <c:v>No</c:v>
                  </c:pt>
                  <c:pt idx="1">
                    <c:v>No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1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Yes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No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No</c:v>
                  </c:pt>
                  <c:pt idx="36">
                    <c:v>No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No</c:v>
                  </c:pt>
                  <c:pt idx="43">
                    <c:v>No</c:v>
                  </c:pt>
                  <c:pt idx="44">
                    <c:v>No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No</c:v>
                  </c:pt>
                  <c:pt idx="67">
                    <c:v>No</c:v>
                  </c:pt>
                  <c:pt idx="68">
                    <c:v>No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No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No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No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Yes</c:v>
                  </c:pt>
                  <c:pt idx="96">
                    <c:v>No</c:v>
                  </c:pt>
                  <c:pt idx="97">
                    <c:v>No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No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No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Yes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No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Yes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Yes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Yes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Yes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No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</c:lvl>
                <c:lvl>
                  <c:pt idx="0">
                    <c:v>4</c:v>
                  </c:pt>
                  <c:pt idx="1">
                    <c:v>2</c:v>
                  </c:pt>
                  <c:pt idx="2">
                    <c:v>4</c:v>
                  </c:pt>
                  <c:pt idx="3">
                    <c:v>5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4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5</c:v>
                  </c:pt>
                  <c:pt idx="12">
                    <c:v>3</c:v>
                  </c:pt>
                  <c:pt idx="13">
                    <c:v>2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2</c:v>
                  </c:pt>
                  <c:pt idx="18">
                    <c:v>5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5</c:v>
                  </c:pt>
                  <c:pt idx="25">
                    <c:v>4</c:v>
                  </c:pt>
                  <c:pt idx="26">
                    <c:v>3</c:v>
                  </c:pt>
                  <c:pt idx="27">
                    <c:v>5</c:v>
                  </c:pt>
                  <c:pt idx="28">
                    <c:v>3</c:v>
                  </c:pt>
                  <c:pt idx="29">
                    <c:v>3</c:v>
                  </c:pt>
                  <c:pt idx="30">
                    <c:v>5</c:v>
                  </c:pt>
                  <c:pt idx="31">
                    <c:v>4</c:v>
                  </c:pt>
                  <c:pt idx="32">
                    <c:v>5</c:v>
                  </c:pt>
                  <c:pt idx="33">
                    <c:v>4</c:v>
                  </c:pt>
                  <c:pt idx="34">
                    <c:v>5</c:v>
                  </c:pt>
                  <c:pt idx="35">
                    <c:v>3</c:v>
                  </c:pt>
                  <c:pt idx="36">
                    <c:v>2</c:v>
                  </c:pt>
                  <c:pt idx="37">
                    <c:v>4</c:v>
                  </c:pt>
                  <c:pt idx="38">
                    <c:v>4</c:v>
                  </c:pt>
                  <c:pt idx="39">
                    <c:v>5</c:v>
                  </c:pt>
                  <c:pt idx="40">
                    <c:v>4</c:v>
                  </c:pt>
                  <c:pt idx="41">
                    <c:v>4</c:v>
                  </c:pt>
                  <c:pt idx="42">
                    <c:v>5</c:v>
                  </c:pt>
                  <c:pt idx="43">
                    <c:v>5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4</c:v>
                  </c:pt>
                  <c:pt idx="48">
                    <c:v>4</c:v>
                  </c:pt>
                  <c:pt idx="49">
                    <c:v>3</c:v>
                  </c:pt>
                  <c:pt idx="50">
                    <c:v>2</c:v>
                  </c:pt>
                  <c:pt idx="51">
                    <c:v>4</c:v>
                  </c:pt>
                  <c:pt idx="52">
                    <c:v>3</c:v>
                  </c:pt>
                  <c:pt idx="53">
                    <c:v>5</c:v>
                  </c:pt>
                  <c:pt idx="54">
                    <c:v>3</c:v>
                  </c:pt>
                  <c:pt idx="55">
                    <c:v>5</c:v>
                  </c:pt>
                  <c:pt idx="56">
                    <c:v>4</c:v>
                  </c:pt>
                  <c:pt idx="57">
                    <c:v>5</c:v>
                  </c:pt>
                  <c:pt idx="58">
                    <c:v>4</c:v>
                  </c:pt>
                  <c:pt idx="59">
                    <c:v>4</c:v>
                  </c:pt>
                  <c:pt idx="60">
                    <c:v>4</c:v>
                  </c:pt>
                  <c:pt idx="61">
                    <c:v>5</c:v>
                  </c:pt>
                  <c:pt idx="62">
                    <c:v>5</c:v>
                  </c:pt>
                  <c:pt idx="63">
                    <c:v>4</c:v>
                  </c:pt>
                  <c:pt idx="64">
                    <c:v>4</c:v>
                  </c:pt>
                  <c:pt idx="65">
                    <c:v>5</c:v>
                  </c:pt>
                  <c:pt idx="66">
                    <c:v>5</c:v>
                  </c:pt>
                  <c:pt idx="67">
                    <c:v>5</c:v>
                  </c:pt>
                  <c:pt idx="68">
                    <c:v>5</c:v>
                  </c:pt>
                  <c:pt idx="69">
                    <c:v>5</c:v>
                  </c:pt>
                  <c:pt idx="70">
                    <c:v>4</c:v>
                  </c:pt>
                  <c:pt idx="71">
                    <c:v>5</c:v>
                  </c:pt>
                  <c:pt idx="72">
                    <c:v>4</c:v>
                  </c:pt>
                  <c:pt idx="73">
                    <c:v>5</c:v>
                  </c:pt>
                  <c:pt idx="74">
                    <c:v>4</c:v>
                  </c:pt>
                  <c:pt idx="75">
                    <c:v>4</c:v>
                  </c:pt>
                  <c:pt idx="76">
                    <c:v>4</c:v>
                  </c:pt>
                  <c:pt idx="77">
                    <c:v>5</c:v>
                  </c:pt>
                  <c:pt idx="78">
                    <c:v>4</c:v>
                  </c:pt>
                  <c:pt idx="79">
                    <c:v>5</c:v>
                  </c:pt>
                  <c:pt idx="80">
                    <c:v>4</c:v>
                  </c:pt>
                  <c:pt idx="81">
                    <c:v>4</c:v>
                  </c:pt>
                  <c:pt idx="82">
                    <c:v>2</c:v>
                  </c:pt>
                  <c:pt idx="83">
                    <c:v>5</c:v>
                  </c:pt>
                  <c:pt idx="84">
                    <c:v>3</c:v>
                  </c:pt>
                  <c:pt idx="85">
                    <c:v>4</c:v>
                  </c:pt>
                  <c:pt idx="86">
                    <c:v>5</c:v>
                  </c:pt>
                  <c:pt idx="87">
                    <c:v>4</c:v>
                  </c:pt>
                  <c:pt idx="88">
                    <c:v>4</c:v>
                  </c:pt>
                  <c:pt idx="89">
                    <c:v>5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3</c:v>
                  </c:pt>
                  <c:pt idx="94">
                    <c:v>4</c:v>
                  </c:pt>
                  <c:pt idx="95">
                    <c:v>3</c:v>
                  </c:pt>
                  <c:pt idx="96">
                    <c:v>4</c:v>
                  </c:pt>
                  <c:pt idx="97">
                    <c:v>4</c:v>
                  </c:pt>
                  <c:pt idx="98">
                    <c:v>4</c:v>
                  </c:pt>
                  <c:pt idx="99">
                    <c:v>5</c:v>
                  </c:pt>
                  <c:pt idx="100">
                    <c:v>5</c:v>
                  </c:pt>
                  <c:pt idx="101">
                    <c:v>4</c:v>
                  </c:pt>
                  <c:pt idx="102">
                    <c:v>3</c:v>
                  </c:pt>
                  <c:pt idx="103">
                    <c:v>4</c:v>
                  </c:pt>
                  <c:pt idx="104">
                    <c:v>4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4</c:v>
                  </c:pt>
                  <c:pt idx="108">
                    <c:v>5</c:v>
                  </c:pt>
                  <c:pt idx="109">
                    <c:v>5</c:v>
                  </c:pt>
                  <c:pt idx="110">
                    <c:v>5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4</c:v>
                  </c:pt>
                  <c:pt idx="114">
                    <c:v>4</c:v>
                  </c:pt>
                  <c:pt idx="115">
                    <c:v>2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5</c:v>
                  </c:pt>
                  <c:pt idx="119">
                    <c:v>3</c:v>
                  </c:pt>
                  <c:pt idx="120">
                    <c:v>3</c:v>
                  </c:pt>
                  <c:pt idx="121">
                    <c:v>5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3</c:v>
                  </c:pt>
                  <c:pt idx="126">
                    <c:v>3</c:v>
                  </c:pt>
                  <c:pt idx="127">
                    <c:v>4</c:v>
                  </c:pt>
                  <c:pt idx="128">
                    <c:v>4</c:v>
                  </c:pt>
                  <c:pt idx="129">
                    <c:v>5</c:v>
                  </c:pt>
                  <c:pt idx="130">
                    <c:v>4</c:v>
                  </c:pt>
                  <c:pt idx="131">
                    <c:v>5</c:v>
                  </c:pt>
                  <c:pt idx="132">
                    <c:v>4</c:v>
                  </c:pt>
                  <c:pt idx="133">
                    <c:v>5</c:v>
                  </c:pt>
                  <c:pt idx="134">
                    <c:v>4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5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5</c:v>
                  </c:pt>
                  <c:pt idx="141">
                    <c:v>4</c:v>
                  </c:pt>
                  <c:pt idx="142">
                    <c:v>5</c:v>
                  </c:pt>
                  <c:pt idx="143">
                    <c:v>5</c:v>
                  </c:pt>
                  <c:pt idx="144">
                    <c:v>4</c:v>
                  </c:pt>
                  <c:pt idx="145">
                    <c:v>5</c:v>
                  </c:pt>
                  <c:pt idx="146">
                    <c:v>4</c:v>
                  </c:pt>
                  <c:pt idx="147">
                    <c:v>5</c:v>
                  </c:pt>
                  <c:pt idx="148">
                    <c:v>5</c:v>
                  </c:pt>
                  <c:pt idx="149">
                    <c:v>4</c:v>
                  </c:pt>
                  <c:pt idx="150">
                    <c:v>5</c:v>
                  </c:pt>
                  <c:pt idx="151">
                    <c:v>4</c:v>
                  </c:pt>
                  <c:pt idx="152">
                    <c:v>5</c:v>
                  </c:pt>
                  <c:pt idx="153">
                    <c:v>4</c:v>
                  </c:pt>
                  <c:pt idx="154">
                    <c:v>4</c:v>
                  </c:pt>
                  <c:pt idx="155">
                    <c:v>5</c:v>
                  </c:pt>
                  <c:pt idx="156">
                    <c:v>5</c:v>
                  </c:pt>
                  <c:pt idx="157">
                    <c:v>4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4</c:v>
                  </c:pt>
                  <c:pt idx="162">
                    <c:v>4</c:v>
                  </c:pt>
                  <c:pt idx="163">
                    <c:v>3</c:v>
                  </c:pt>
                  <c:pt idx="164">
                    <c:v>4</c:v>
                  </c:pt>
                  <c:pt idx="165">
                    <c:v>5</c:v>
                  </c:pt>
                  <c:pt idx="166">
                    <c:v>4</c:v>
                  </c:pt>
                  <c:pt idx="167">
                    <c:v>3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4</c:v>
                  </c:pt>
                  <c:pt idx="171">
                    <c:v>4</c:v>
                  </c:pt>
                  <c:pt idx="172">
                    <c:v>2</c:v>
                  </c:pt>
                  <c:pt idx="173">
                    <c:v>5</c:v>
                  </c:pt>
                  <c:pt idx="174">
                    <c:v>5</c:v>
                  </c:pt>
                  <c:pt idx="175">
                    <c:v>5</c:v>
                  </c:pt>
                  <c:pt idx="176">
                    <c:v>5</c:v>
                  </c:pt>
                  <c:pt idx="177">
                    <c:v>5</c:v>
                  </c:pt>
                  <c:pt idx="178">
                    <c:v>4</c:v>
                  </c:pt>
                  <c:pt idx="179">
                    <c:v>3</c:v>
                  </c:pt>
                  <c:pt idx="180">
                    <c:v>2</c:v>
                  </c:pt>
                  <c:pt idx="181">
                    <c:v>5</c:v>
                  </c:pt>
                  <c:pt idx="182">
                    <c:v>3</c:v>
                  </c:pt>
                  <c:pt idx="183">
                    <c:v>5</c:v>
                  </c:pt>
                  <c:pt idx="184">
                    <c:v>4</c:v>
                  </c:pt>
                  <c:pt idx="185">
                    <c:v>4</c:v>
                  </c:pt>
                  <c:pt idx="186">
                    <c:v>5</c:v>
                  </c:pt>
                  <c:pt idx="187">
                    <c:v>4</c:v>
                  </c:pt>
                  <c:pt idx="188">
                    <c:v>5</c:v>
                  </c:pt>
                  <c:pt idx="189">
                    <c:v>4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4</c:v>
                  </c:pt>
                  <c:pt idx="193">
                    <c:v>5</c:v>
                  </c:pt>
                  <c:pt idx="194">
                    <c:v>4</c:v>
                  </c:pt>
                  <c:pt idx="195">
                    <c:v>4</c:v>
                  </c:pt>
                  <c:pt idx="196">
                    <c:v>4</c:v>
                  </c:pt>
                  <c:pt idx="197">
                    <c:v>4</c:v>
                  </c:pt>
                  <c:pt idx="198">
                    <c:v>5</c:v>
                  </c:pt>
                  <c:pt idx="199">
                    <c:v>3</c:v>
                  </c:pt>
                  <c:pt idx="200">
                    <c:v>4</c:v>
                  </c:pt>
                  <c:pt idx="201">
                    <c:v>5</c:v>
                  </c:pt>
                  <c:pt idx="202">
                    <c:v>4</c:v>
                  </c:pt>
                  <c:pt idx="203">
                    <c:v>3</c:v>
                  </c:pt>
                  <c:pt idx="204">
                    <c:v>5</c:v>
                  </c:pt>
                  <c:pt idx="205">
                    <c:v>4</c:v>
                  </c:pt>
                  <c:pt idx="206">
                    <c:v>4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4</c:v>
                  </c:pt>
                  <c:pt idx="210">
                    <c:v>5</c:v>
                  </c:pt>
                  <c:pt idx="211">
                    <c:v>3</c:v>
                  </c:pt>
                  <c:pt idx="212">
                    <c:v>4</c:v>
                  </c:pt>
                  <c:pt idx="213">
                    <c:v>5</c:v>
                  </c:pt>
                  <c:pt idx="214">
                    <c:v>4</c:v>
                  </c:pt>
                  <c:pt idx="215">
                    <c:v>5</c:v>
                  </c:pt>
                  <c:pt idx="216">
                    <c:v>4</c:v>
                  </c:pt>
                  <c:pt idx="217">
                    <c:v>4</c:v>
                  </c:pt>
                  <c:pt idx="218">
                    <c:v>4</c:v>
                  </c:pt>
                  <c:pt idx="219">
                    <c:v>4</c:v>
                  </c:pt>
                  <c:pt idx="220">
                    <c:v>4</c:v>
                  </c:pt>
                  <c:pt idx="221">
                    <c:v>4</c:v>
                  </c:pt>
                  <c:pt idx="222">
                    <c:v>5</c:v>
                  </c:pt>
                  <c:pt idx="223">
                    <c:v>3</c:v>
                  </c:pt>
                  <c:pt idx="224">
                    <c:v>5</c:v>
                  </c:pt>
                  <c:pt idx="225">
                    <c:v>5</c:v>
                  </c:pt>
                  <c:pt idx="226">
                    <c:v>4</c:v>
                  </c:pt>
                  <c:pt idx="227">
                    <c:v>2</c:v>
                  </c:pt>
                  <c:pt idx="228">
                    <c:v>4</c:v>
                  </c:pt>
                  <c:pt idx="229">
                    <c:v>4</c:v>
                  </c:pt>
                  <c:pt idx="230">
                    <c:v>4</c:v>
                  </c:pt>
                  <c:pt idx="231">
                    <c:v>4</c:v>
                  </c:pt>
                  <c:pt idx="232">
                    <c:v>4</c:v>
                  </c:pt>
                  <c:pt idx="233">
                    <c:v>5</c:v>
                  </c:pt>
                  <c:pt idx="234">
                    <c:v>3</c:v>
                  </c:pt>
                  <c:pt idx="235">
                    <c:v>4</c:v>
                  </c:pt>
                  <c:pt idx="236">
                    <c:v>3</c:v>
                  </c:pt>
                  <c:pt idx="237">
                    <c:v>5</c:v>
                  </c:pt>
                  <c:pt idx="238">
                    <c:v>2</c:v>
                  </c:pt>
                  <c:pt idx="239">
                    <c:v>4</c:v>
                  </c:pt>
                  <c:pt idx="240">
                    <c:v>5</c:v>
                  </c:pt>
                  <c:pt idx="241">
                    <c:v>4</c:v>
                  </c:pt>
                  <c:pt idx="242">
                    <c:v>4</c:v>
                  </c:pt>
                  <c:pt idx="243">
                    <c:v>4</c:v>
                  </c:pt>
                  <c:pt idx="244">
                    <c:v>3</c:v>
                  </c:pt>
                  <c:pt idx="245">
                    <c:v>5</c:v>
                  </c:pt>
                  <c:pt idx="246">
                    <c:v>4</c:v>
                  </c:pt>
                  <c:pt idx="247">
                    <c:v>4</c:v>
                  </c:pt>
                  <c:pt idx="248">
                    <c:v>4</c:v>
                  </c:pt>
                  <c:pt idx="249">
                    <c:v>4</c:v>
                  </c:pt>
                  <c:pt idx="250">
                    <c:v>5</c:v>
                  </c:pt>
                  <c:pt idx="251">
                    <c:v>4</c:v>
                  </c:pt>
                  <c:pt idx="252">
                    <c:v>4</c:v>
                  </c:pt>
                  <c:pt idx="253">
                    <c:v>5</c:v>
                  </c:pt>
                  <c:pt idx="254">
                    <c:v>4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3</c:v>
                  </c:pt>
                  <c:pt idx="258">
                    <c:v>4</c:v>
                  </c:pt>
                  <c:pt idx="259">
                    <c:v>4</c:v>
                  </c:pt>
                  <c:pt idx="260">
                    <c:v>4</c:v>
                  </c:pt>
                  <c:pt idx="261">
                    <c:v>4</c:v>
                  </c:pt>
                  <c:pt idx="262">
                    <c:v>5</c:v>
                  </c:pt>
                  <c:pt idx="263">
                    <c:v>5</c:v>
                  </c:pt>
                  <c:pt idx="264">
                    <c:v>3</c:v>
                  </c:pt>
                  <c:pt idx="265">
                    <c:v>5</c:v>
                  </c:pt>
                  <c:pt idx="266">
                    <c:v>5</c:v>
                  </c:pt>
                  <c:pt idx="267">
                    <c:v>5</c:v>
                  </c:pt>
                  <c:pt idx="268">
                    <c:v>4</c:v>
                  </c:pt>
                  <c:pt idx="269">
                    <c:v>4</c:v>
                  </c:pt>
                  <c:pt idx="270">
                    <c:v>4</c:v>
                  </c:pt>
                  <c:pt idx="271">
                    <c:v>4</c:v>
                  </c:pt>
                  <c:pt idx="272">
                    <c:v>4</c:v>
                  </c:pt>
                  <c:pt idx="273">
                    <c:v>4</c:v>
                  </c:pt>
                  <c:pt idx="274">
                    <c:v>4</c:v>
                  </c:pt>
                  <c:pt idx="275">
                    <c:v>5</c:v>
                  </c:pt>
                  <c:pt idx="276">
                    <c:v>5</c:v>
                  </c:pt>
                  <c:pt idx="277">
                    <c:v>5</c:v>
                  </c:pt>
                  <c:pt idx="278">
                    <c:v>4</c:v>
                  </c:pt>
                  <c:pt idx="279">
                    <c:v>5</c:v>
                  </c:pt>
                  <c:pt idx="280">
                    <c:v>3</c:v>
                  </c:pt>
                  <c:pt idx="281">
                    <c:v>3</c:v>
                  </c:pt>
                  <c:pt idx="282">
                    <c:v>5</c:v>
                  </c:pt>
                  <c:pt idx="283">
                    <c:v>4</c:v>
                  </c:pt>
                  <c:pt idx="284">
                    <c:v>4</c:v>
                  </c:pt>
                  <c:pt idx="285">
                    <c:v>4</c:v>
                  </c:pt>
                  <c:pt idx="286">
                    <c:v>2</c:v>
                  </c:pt>
                  <c:pt idx="287">
                    <c:v>5</c:v>
                  </c:pt>
                  <c:pt idx="288">
                    <c:v>5</c:v>
                  </c:pt>
                  <c:pt idx="289">
                    <c:v>4</c:v>
                  </c:pt>
                  <c:pt idx="290">
                    <c:v>2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3</c:v>
                  </c:pt>
                  <c:pt idx="294">
                    <c:v>5</c:v>
                  </c:pt>
                  <c:pt idx="295">
                    <c:v>5</c:v>
                  </c:pt>
                  <c:pt idx="296">
                    <c:v>4</c:v>
                  </c:pt>
                  <c:pt idx="297">
                    <c:v>4</c:v>
                  </c:pt>
                  <c:pt idx="298">
                    <c:v>4</c:v>
                  </c:pt>
                  <c:pt idx="299">
                    <c:v>4</c:v>
                  </c:pt>
                </c:lvl>
                <c:lvl>
                  <c:pt idx="0">
                    <c:v>Net Banking</c:v>
                  </c:pt>
                  <c:pt idx="1">
                    <c:v>UPI</c:v>
                  </c:pt>
                  <c:pt idx="2">
                    <c:v>Debit Card</c:v>
                  </c:pt>
                  <c:pt idx="3">
                    <c:v>Credit Card</c:v>
                  </c:pt>
                  <c:pt idx="4">
                    <c:v>Net Banking</c:v>
                  </c:pt>
                  <c:pt idx="5">
                    <c:v>Cash on Delivery</c:v>
                  </c:pt>
                  <c:pt idx="6">
                    <c:v>UPI</c:v>
                  </c:pt>
                  <c:pt idx="7">
                    <c:v>Net Banking</c:v>
                  </c:pt>
                  <c:pt idx="8">
                    <c:v>Credit Card</c:v>
                  </c:pt>
                  <c:pt idx="9">
                    <c:v>Debit Card</c:v>
                  </c:pt>
                  <c:pt idx="10">
                    <c:v>Credit Card</c:v>
                  </c:pt>
                  <c:pt idx="11">
                    <c:v>Cash on Delivery</c:v>
                  </c:pt>
                  <c:pt idx="12">
                    <c:v>UPI</c:v>
                  </c:pt>
                  <c:pt idx="13">
                    <c:v>Cash on Delivery</c:v>
                  </c:pt>
                  <c:pt idx="14">
                    <c:v>Debit Card</c:v>
                  </c:pt>
                  <c:pt idx="15">
                    <c:v>Credit Card</c:v>
                  </c:pt>
                  <c:pt idx="16">
                    <c:v>Cash on Delivery</c:v>
                  </c:pt>
                  <c:pt idx="17">
                    <c:v>Credit Card</c:v>
                  </c:pt>
                  <c:pt idx="18">
                    <c:v>Net Banking</c:v>
                  </c:pt>
                  <c:pt idx="19">
                    <c:v>Net Banking</c:v>
                  </c:pt>
                  <c:pt idx="20">
                    <c:v>Net Banking</c:v>
                  </c:pt>
                  <c:pt idx="21">
                    <c:v>Debit Card</c:v>
                  </c:pt>
                  <c:pt idx="22">
                    <c:v>UPI</c:v>
                  </c:pt>
                  <c:pt idx="23">
                    <c:v>Debit Card</c:v>
                  </c:pt>
                  <c:pt idx="24">
                    <c:v>UPI</c:v>
                  </c:pt>
                  <c:pt idx="25">
                    <c:v>Cash on Delivery</c:v>
                  </c:pt>
                  <c:pt idx="26">
                    <c:v>Debit Card</c:v>
                  </c:pt>
                  <c:pt idx="27">
                    <c:v>Cash on Delivery</c:v>
                  </c:pt>
                  <c:pt idx="28">
                    <c:v>Net Banking</c:v>
                  </c:pt>
                  <c:pt idx="29">
                    <c:v>Net Banking</c:v>
                  </c:pt>
                  <c:pt idx="30">
                    <c:v>UPI</c:v>
                  </c:pt>
                  <c:pt idx="31">
                    <c:v>UPI</c:v>
                  </c:pt>
                  <c:pt idx="32">
                    <c:v>Credit Card</c:v>
                  </c:pt>
                  <c:pt idx="33">
                    <c:v>Cash on Delivery</c:v>
                  </c:pt>
                  <c:pt idx="34">
                    <c:v>UPI</c:v>
                  </c:pt>
                  <c:pt idx="35">
                    <c:v>Cash on Delivery</c:v>
                  </c:pt>
                  <c:pt idx="36">
                    <c:v>Cash on Delivery</c:v>
                  </c:pt>
                  <c:pt idx="37">
                    <c:v>Cash on Delivery</c:v>
                  </c:pt>
                  <c:pt idx="38">
                    <c:v>Debit Card</c:v>
                  </c:pt>
                  <c:pt idx="39">
                    <c:v>UPI</c:v>
                  </c:pt>
                  <c:pt idx="40">
                    <c:v>UPI</c:v>
                  </c:pt>
                  <c:pt idx="41">
                    <c:v>Credit Card</c:v>
                  </c:pt>
                  <c:pt idx="42">
                    <c:v>UPI</c:v>
                  </c:pt>
                  <c:pt idx="43">
                    <c:v>Net Banking</c:v>
                  </c:pt>
                  <c:pt idx="44">
                    <c:v>Debit Card</c:v>
                  </c:pt>
                  <c:pt idx="45">
                    <c:v>Cash on Delivery</c:v>
                  </c:pt>
                  <c:pt idx="46">
                    <c:v>Debit Card</c:v>
                  </c:pt>
                  <c:pt idx="47">
                    <c:v>Net Banking</c:v>
                  </c:pt>
                  <c:pt idx="48">
                    <c:v>Cash on Delivery</c:v>
                  </c:pt>
                  <c:pt idx="49">
                    <c:v>Cash on Delivery</c:v>
                  </c:pt>
                  <c:pt idx="50">
                    <c:v>Cash on Delivery</c:v>
                  </c:pt>
                  <c:pt idx="51">
                    <c:v>Credit Card</c:v>
                  </c:pt>
                  <c:pt idx="52">
                    <c:v>Debit Card</c:v>
                  </c:pt>
                  <c:pt idx="53">
                    <c:v>Net Banking</c:v>
                  </c:pt>
                  <c:pt idx="54">
                    <c:v>UPI</c:v>
                  </c:pt>
                  <c:pt idx="55">
                    <c:v>Net Banking</c:v>
                  </c:pt>
                  <c:pt idx="56">
                    <c:v>Cash on Delivery</c:v>
                  </c:pt>
                  <c:pt idx="57">
                    <c:v>Debit Card</c:v>
                  </c:pt>
                  <c:pt idx="58">
                    <c:v>Credit Card</c:v>
                  </c:pt>
                  <c:pt idx="59">
                    <c:v>Debit Card</c:v>
                  </c:pt>
                  <c:pt idx="60">
                    <c:v>Cash on Delivery</c:v>
                  </c:pt>
                  <c:pt idx="61">
                    <c:v>Net Banking</c:v>
                  </c:pt>
                  <c:pt idx="62">
                    <c:v>Credit Card</c:v>
                  </c:pt>
                  <c:pt idx="63">
                    <c:v>Credit Card</c:v>
                  </c:pt>
                  <c:pt idx="64">
                    <c:v>Net Banking</c:v>
                  </c:pt>
                  <c:pt idx="65">
                    <c:v>Credit Card</c:v>
                  </c:pt>
                  <c:pt idx="66">
                    <c:v>Cash on Delivery</c:v>
                  </c:pt>
                  <c:pt idx="67">
                    <c:v>Net Banking</c:v>
                  </c:pt>
                  <c:pt idx="68">
                    <c:v>Debit Card</c:v>
                  </c:pt>
                  <c:pt idx="69">
                    <c:v>Credit Card</c:v>
                  </c:pt>
                  <c:pt idx="70">
                    <c:v>UPI</c:v>
                  </c:pt>
                  <c:pt idx="71">
                    <c:v>Cash on Delivery</c:v>
                  </c:pt>
                  <c:pt idx="72">
                    <c:v>Debit Card</c:v>
                  </c:pt>
                  <c:pt idx="73">
                    <c:v>UPI</c:v>
                  </c:pt>
                  <c:pt idx="74">
                    <c:v>Net Banking</c:v>
                  </c:pt>
                  <c:pt idx="75">
                    <c:v>Debit Card</c:v>
                  </c:pt>
                  <c:pt idx="76">
                    <c:v>Net Banking</c:v>
                  </c:pt>
                  <c:pt idx="77">
                    <c:v>Credit Card</c:v>
                  </c:pt>
                  <c:pt idx="78">
                    <c:v>Net Banking</c:v>
                  </c:pt>
                  <c:pt idx="79">
                    <c:v>Net Banking</c:v>
                  </c:pt>
                  <c:pt idx="80">
                    <c:v>Debit Card</c:v>
                  </c:pt>
                  <c:pt idx="81">
                    <c:v>Net Banking</c:v>
                  </c:pt>
                  <c:pt idx="82">
                    <c:v>Cash on Delivery</c:v>
                  </c:pt>
                  <c:pt idx="83">
                    <c:v>UPI</c:v>
                  </c:pt>
                  <c:pt idx="84">
                    <c:v>Net Banking</c:v>
                  </c:pt>
                  <c:pt idx="85">
                    <c:v>Debit Card</c:v>
                  </c:pt>
                  <c:pt idx="86">
                    <c:v>Cash on Delivery</c:v>
                  </c:pt>
                  <c:pt idx="87">
                    <c:v>UPI</c:v>
                  </c:pt>
                  <c:pt idx="88">
                    <c:v>Net Banking</c:v>
                  </c:pt>
                  <c:pt idx="89">
                    <c:v>Cash on Delivery</c:v>
                  </c:pt>
                  <c:pt idx="90">
                    <c:v>UPI</c:v>
                  </c:pt>
                  <c:pt idx="91">
                    <c:v>Debit Card</c:v>
                  </c:pt>
                  <c:pt idx="92">
                    <c:v>Net Banking</c:v>
                  </c:pt>
                  <c:pt idx="93">
                    <c:v>Cash on Delivery</c:v>
                  </c:pt>
                  <c:pt idx="94">
                    <c:v>Debit Card</c:v>
                  </c:pt>
                  <c:pt idx="95">
                    <c:v>Net Banking</c:v>
                  </c:pt>
                  <c:pt idx="96">
                    <c:v>UPI</c:v>
                  </c:pt>
                  <c:pt idx="97">
                    <c:v>Cash on Delivery</c:v>
                  </c:pt>
                  <c:pt idx="98">
                    <c:v>Debit Card</c:v>
                  </c:pt>
                  <c:pt idx="99">
                    <c:v>Net Banking</c:v>
                  </c:pt>
                  <c:pt idx="100">
                    <c:v>Net Banking</c:v>
                  </c:pt>
                  <c:pt idx="101">
                    <c:v>Cash on Delivery</c:v>
                  </c:pt>
                  <c:pt idx="102">
                    <c:v>Cash on Delivery</c:v>
                  </c:pt>
                  <c:pt idx="103">
                    <c:v>Debit Card</c:v>
                  </c:pt>
                  <c:pt idx="104">
                    <c:v>UPI</c:v>
                  </c:pt>
                  <c:pt idx="105">
                    <c:v>Credit Card</c:v>
                  </c:pt>
                  <c:pt idx="106">
                    <c:v>Net Banking</c:v>
                  </c:pt>
                  <c:pt idx="107">
                    <c:v>UPI</c:v>
                  </c:pt>
                  <c:pt idx="108">
                    <c:v>Net Banking</c:v>
                  </c:pt>
                  <c:pt idx="109">
                    <c:v>Debit Card</c:v>
                  </c:pt>
                  <c:pt idx="110">
                    <c:v>Credit Card</c:v>
                  </c:pt>
                  <c:pt idx="111">
                    <c:v>Cash on Delivery</c:v>
                  </c:pt>
                  <c:pt idx="112">
                    <c:v>Credit Card</c:v>
                  </c:pt>
                  <c:pt idx="113">
                    <c:v>Debit Card</c:v>
                  </c:pt>
                  <c:pt idx="114">
                    <c:v>UPI</c:v>
                  </c:pt>
                  <c:pt idx="115">
                    <c:v>Cash on Delivery</c:v>
                  </c:pt>
                  <c:pt idx="116">
                    <c:v>UPI</c:v>
                  </c:pt>
                  <c:pt idx="117">
                    <c:v>Credit Card</c:v>
                  </c:pt>
                  <c:pt idx="118">
                    <c:v>Debit Card</c:v>
                  </c:pt>
                  <c:pt idx="119">
                    <c:v>Cash on Delivery</c:v>
                  </c:pt>
                  <c:pt idx="120">
                    <c:v>Net Banking</c:v>
                  </c:pt>
                  <c:pt idx="121">
                    <c:v>Debit Card</c:v>
                  </c:pt>
                  <c:pt idx="122">
                    <c:v>Credit Card</c:v>
                  </c:pt>
                  <c:pt idx="123">
                    <c:v>Net Banking</c:v>
                  </c:pt>
                  <c:pt idx="124">
                    <c:v>UPI</c:v>
                  </c:pt>
                  <c:pt idx="125">
                    <c:v>Debit Card</c:v>
                  </c:pt>
                  <c:pt idx="126">
                    <c:v>Debit Card</c:v>
                  </c:pt>
                  <c:pt idx="127">
                    <c:v>Credit Card</c:v>
                  </c:pt>
                  <c:pt idx="128">
                    <c:v>Debit Card</c:v>
                  </c:pt>
                  <c:pt idx="129">
                    <c:v>Net Banking</c:v>
                  </c:pt>
                  <c:pt idx="130">
                    <c:v>Cash on Delivery</c:v>
                  </c:pt>
                  <c:pt idx="131">
                    <c:v>Net Banking</c:v>
                  </c:pt>
                  <c:pt idx="132">
                    <c:v>Net Banking</c:v>
                  </c:pt>
                  <c:pt idx="133">
                    <c:v>Credit Card</c:v>
                  </c:pt>
                  <c:pt idx="134">
                    <c:v>UPI</c:v>
                  </c:pt>
                  <c:pt idx="135">
                    <c:v>Debit Card</c:v>
                  </c:pt>
                  <c:pt idx="136">
                    <c:v>Cash on Delivery</c:v>
                  </c:pt>
                  <c:pt idx="137">
                    <c:v>Debit Card</c:v>
                  </c:pt>
                  <c:pt idx="138">
                    <c:v>Net Banking</c:v>
                  </c:pt>
                  <c:pt idx="139">
                    <c:v>Cash on Delivery</c:v>
                  </c:pt>
                  <c:pt idx="140">
                    <c:v>UPI</c:v>
                  </c:pt>
                  <c:pt idx="141">
                    <c:v>Credit Card</c:v>
                  </c:pt>
                  <c:pt idx="142">
                    <c:v>Credit Card</c:v>
                  </c:pt>
                  <c:pt idx="143">
                    <c:v>Cash on Delivery</c:v>
                  </c:pt>
                  <c:pt idx="144">
                    <c:v>Net Banking</c:v>
                  </c:pt>
                  <c:pt idx="145">
                    <c:v>Net Banking</c:v>
                  </c:pt>
                  <c:pt idx="146">
                    <c:v>Net Banking</c:v>
                  </c:pt>
                  <c:pt idx="147">
                    <c:v>UPI</c:v>
                  </c:pt>
                  <c:pt idx="148">
                    <c:v>UPI</c:v>
                  </c:pt>
                  <c:pt idx="149">
                    <c:v>Cash on Delivery</c:v>
                  </c:pt>
                  <c:pt idx="150">
                    <c:v>Debit Card</c:v>
                  </c:pt>
                  <c:pt idx="151">
                    <c:v>Cash on Delivery</c:v>
                  </c:pt>
                  <c:pt idx="152">
                    <c:v>UPI</c:v>
                  </c:pt>
                  <c:pt idx="153">
                    <c:v>Cash on Delivery</c:v>
                  </c:pt>
                  <c:pt idx="154">
                    <c:v>Cash on Delivery</c:v>
                  </c:pt>
                  <c:pt idx="155">
                    <c:v>Cash on Delivery</c:v>
                  </c:pt>
                  <c:pt idx="156">
                    <c:v>Net Banking</c:v>
                  </c:pt>
                  <c:pt idx="157">
                    <c:v>Credit Card</c:v>
                  </c:pt>
                  <c:pt idx="158">
                    <c:v>Debit Card</c:v>
                  </c:pt>
                  <c:pt idx="159">
                    <c:v>Credit Card</c:v>
                  </c:pt>
                  <c:pt idx="160">
                    <c:v>Cash on Delivery</c:v>
                  </c:pt>
                  <c:pt idx="161">
                    <c:v>Net Banking</c:v>
                  </c:pt>
                  <c:pt idx="162">
                    <c:v>Net Banking</c:v>
                  </c:pt>
                  <c:pt idx="163">
                    <c:v>Cash on Delivery</c:v>
                  </c:pt>
                  <c:pt idx="164">
                    <c:v>Credit Card</c:v>
                  </c:pt>
                  <c:pt idx="165">
                    <c:v>Debit Card</c:v>
                  </c:pt>
                  <c:pt idx="166">
                    <c:v>Credit Card</c:v>
                  </c:pt>
                  <c:pt idx="167">
                    <c:v>Debit Card</c:v>
                  </c:pt>
                  <c:pt idx="168">
                    <c:v>Debit Card</c:v>
                  </c:pt>
                  <c:pt idx="169">
                    <c:v>Debit Card</c:v>
                  </c:pt>
                  <c:pt idx="170">
                    <c:v>UPI</c:v>
                  </c:pt>
                  <c:pt idx="171">
                    <c:v>Cash on Delivery</c:v>
                  </c:pt>
                  <c:pt idx="172">
                    <c:v>Credit Card</c:v>
                  </c:pt>
                  <c:pt idx="173">
                    <c:v>Cash on Delivery</c:v>
                  </c:pt>
                  <c:pt idx="174">
                    <c:v>Cash on Delivery</c:v>
                  </c:pt>
                  <c:pt idx="175">
                    <c:v>Cash on Delivery</c:v>
                  </c:pt>
                  <c:pt idx="176">
                    <c:v>Net Banking</c:v>
                  </c:pt>
                  <c:pt idx="177">
                    <c:v>UPI</c:v>
                  </c:pt>
                  <c:pt idx="178">
                    <c:v>Net Banking</c:v>
                  </c:pt>
                  <c:pt idx="179">
                    <c:v>UPI</c:v>
                  </c:pt>
                  <c:pt idx="180">
                    <c:v>Debit Card</c:v>
                  </c:pt>
                  <c:pt idx="181">
                    <c:v>Credit Card</c:v>
                  </c:pt>
                  <c:pt idx="182">
                    <c:v>UPI</c:v>
                  </c:pt>
                  <c:pt idx="183">
                    <c:v>Net Banking</c:v>
                  </c:pt>
                  <c:pt idx="184">
                    <c:v>Credit Card</c:v>
                  </c:pt>
                  <c:pt idx="185">
                    <c:v>Cash on Delivery</c:v>
                  </c:pt>
                  <c:pt idx="186">
                    <c:v>Cash on Delivery</c:v>
                  </c:pt>
                  <c:pt idx="187">
                    <c:v>Net Banking</c:v>
                  </c:pt>
                  <c:pt idx="188">
                    <c:v>Credit Card</c:v>
                  </c:pt>
                  <c:pt idx="189">
                    <c:v>Net Banking</c:v>
                  </c:pt>
                  <c:pt idx="190">
                    <c:v>Net Banking</c:v>
                  </c:pt>
                  <c:pt idx="191">
                    <c:v>Cash on Delivery</c:v>
                  </c:pt>
                  <c:pt idx="192">
                    <c:v>UPI</c:v>
                  </c:pt>
                  <c:pt idx="193">
                    <c:v>Credit Card</c:v>
                  </c:pt>
                  <c:pt idx="194">
                    <c:v>Cash on Delivery</c:v>
                  </c:pt>
                  <c:pt idx="195">
                    <c:v>Debit Card</c:v>
                  </c:pt>
                  <c:pt idx="196">
                    <c:v>Cash on Delivery</c:v>
                  </c:pt>
                  <c:pt idx="197">
                    <c:v>Credit Card</c:v>
                  </c:pt>
                  <c:pt idx="198">
                    <c:v>UPI</c:v>
                  </c:pt>
                  <c:pt idx="199">
                    <c:v>Debit Card</c:v>
                  </c:pt>
                  <c:pt idx="200">
                    <c:v>Net Banking</c:v>
                  </c:pt>
                  <c:pt idx="201">
                    <c:v>UPI</c:v>
                  </c:pt>
                  <c:pt idx="202">
                    <c:v>Credit Card</c:v>
                  </c:pt>
                  <c:pt idx="203">
                    <c:v>UPI</c:v>
                  </c:pt>
                  <c:pt idx="204">
                    <c:v>Credit Card</c:v>
                  </c:pt>
                  <c:pt idx="205">
                    <c:v>UPI</c:v>
                  </c:pt>
                  <c:pt idx="206">
                    <c:v>Debit Card</c:v>
                  </c:pt>
                  <c:pt idx="207">
                    <c:v>UPI</c:v>
                  </c:pt>
                  <c:pt idx="208">
                    <c:v>UPI</c:v>
                  </c:pt>
                  <c:pt idx="209">
                    <c:v>Cash on Delivery</c:v>
                  </c:pt>
                  <c:pt idx="210">
                    <c:v>Debit Card</c:v>
                  </c:pt>
                  <c:pt idx="211">
                    <c:v>UPI</c:v>
                  </c:pt>
                  <c:pt idx="212">
                    <c:v>Credit Card</c:v>
                  </c:pt>
                  <c:pt idx="213">
                    <c:v>UPI</c:v>
                  </c:pt>
                  <c:pt idx="214">
                    <c:v>Net Banking</c:v>
                  </c:pt>
                  <c:pt idx="215">
                    <c:v>UPI</c:v>
                  </c:pt>
                  <c:pt idx="216">
                    <c:v>UPI</c:v>
                  </c:pt>
                  <c:pt idx="217">
                    <c:v>Cash on Delivery</c:v>
                  </c:pt>
                  <c:pt idx="218">
                    <c:v>Net Banking</c:v>
                  </c:pt>
                  <c:pt idx="219">
                    <c:v>Net Banking</c:v>
                  </c:pt>
                  <c:pt idx="220">
                    <c:v>Credit Card</c:v>
                  </c:pt>
                  <c:pt idx="221">
                    <c:v>UPI</c:v>
                  </c:pt>
                  <c:pt idx="222">
                    <c:v>Net Banking</c:v>
                  </c:pt>
                  <c:pt idx="223">
                    <c:v>Net Banking</c:v>
                  </c:pt>
                  <c:pt idx="224">
                    <c:v>Debit Card</c:v>
                  </c:pt>
                  <c:pt idx="225">
                    <c:v>Net Banking</c:v>
                  </c:pt>
                  <c:pt idx="226">
                    <c:v>Net Banking</c:v>
                  </c:pt>
                  <c:pt idx="227">
                    <c:v>Credit Card</c:v>
                  </c:pt>
                  <c:pt idx="228">
                    <c:v>Cash on Delivery</c:v>
                  </c:pt>
                  <c:pt idx="229">
                    <c:v>UPI</c:v>
                  </c:pt>
                  <c:pt idx="230">
                    <c:v>Cash on Delivery</c:v>
                  </c:pt>
                  <c:pt idx="231">
                    <c:v>Debit Card</c:v>
                  </c:pt>
                  <c:pt idx="232">
                    <c:v>UPI</c:v>
                  </c:pt>
                  <c:pt idx="233">
                    <c:v>Cash on Delivery</c:v>
                  </c:pt>
                  <c:pt idx="234">
                    <c:v>Debit Card</c:v>
                  </c:pt>
                  <c:pt idx="235">
                    <c:v>Credit Card</c:v>
                  </c:pt>
                  <c:pt idx="236">
                    <c:v>Credit Card</c:v>
                  </c:pt>
                  <c:pt idx="237">
                    <c:v>UPI</c:v>
                  </c:pt>
                  <c:pt idx="238">
                    <c:v>UPI</c:v>
                  </c:pt>
                  <c:pt idx="239">
                    <c:v>Debit Card</c:v>
                  </c:pt>
                  <c:pt idx="240">
                    <c:v>Debit Card</c:v>
                  </c:pt>
                  <c:pt idx="241">
                    <c:v>Credit Card</c:v>
                  </c:pt>
                  <c:pt idx="242">
                    <c:v>Credit Card</c:v>
                  </c:pt>
                  <c:pt idx="243">
                    <c:v>UPI</c:v>
                  </c:pt>
                  <c:pt idx="244">
                    <c:v>Credit Card</c:v>
                  </c:pt>
                  <c:pt idx="245">
                    <c:v>Cash on Delivery</c:v>
                  </c:pt>
                  <c:pt idx="246">
                    <c:v>Net Banking</c:v>
                  </c:pt>
                  <c:pt idx="247">
                    <c:v>Debit Card</c:v>
                  </c:pt>
                  <c:pt idx="248">
                    <c:v>Cash on Delivery</c:v>
                  </c:pt>
                  <c:pt idx="249">
                    <c:v>Cash on Delivery</c:v>
                  </c:pt>
                  <c:pt idx="250">
                    <c:v>Debit Card</c:v>
                  </c:pt>
                  <c:pt idx="251">
                    <c:v>Net Banking</c:v>
                  </c:pt>
                  <c:pt idx="252">
                    <c:v>Cash on Delivery</c:v>
                  </c:pt>
                  <c:pt idx="253">
                    <c:v>Credit Card</c:v>
                  </c:pt>
                  <c:pt idx="254">
                    <c:v>Debit Card</c:v>
                  </c:pt>
                  <c:pt idx="255">
                    <c:v>UPI</c:v>
                  </c:pt>
                  <c:pt idx="256">
                    <c:v>Cash on Delivery</c:v>
                  </c:pt>
                  <c:pt idx="257">
                    <c:v>Net Banking</c:v>
                  </c:pt>
                  <c:pt idx="258">
                    <c:v>UPI</c:v>
                  </c:pt>
                  <c:pt idx="259">
                    <c:v>Debit Card</c:v>
                  </c:pt>
                  <c:pt idx="260">
                    <c:v>Debit Card</c:v>
                  </c:pt>
                  <c:pt idx="261">
                    <c:v>Credit Card</c:v>
                  </c:pt>
                  <c:pt idx="262">
                    <c:v>Credit Card</c:v>
                  </c:pt>
                  <c:pt idx="263">
                    <c:v>Debit Card</c:v>
                  </c:pt>
                  <c:pt idx="264">
                    <c:v>Cash on Delivery</c:v>
                  </c:pt>
                  <c:pt idx="265">
                    <c:v>UPI</c:v>
                  </c:pt>
                  <c:pt idx="266">
                    <c:v>Credit Card</c:v>
                  </c:pt>
                  <c:pt idx="267">
                    <c:v>Credit Card</c:v>
                  </c:pt>
                  <c:pt idx="268">
                    <c:v>Cash on Delivery</c:v>
                  </c:pt>
                  <c:pt idx="269">
                    <c:v>Debit Card</c:v>
                  </c:pt>
                  <c:pt idx="270">
                    <c:v>UPI</c:v>
                  </c:pt>
                  <c:pt idx="271">
                    <c:v>Cash on Delivery</c:v>
                  </c:pt>
                  <c:pt idx="272">
                    <c:v>Net Banking</c:v>
                  </c:pt>
                  <c:pt idx="273">
                    <c:v>Credit Card</c:v>
                  </c:pt>
                  <c:pt idx="274">
                    <c:v>Debit Card</c:v>
                  </c:pt>
                  <c:pt idx="275">
                    <c:v>Net Banking</c:v>
                  </c:pt>
                  <c:pt idx="276">
                    <c:v>Cash on Delivery</c:v>
                  </c:pt>
                  <c:pt idx="277">
                    <c:v>Debit Card</c:v>
                  </c:pt>
                  <c:pt idx="278">
                    <c:v>Net Banking</c:v>
                  </c:pt>
                  <c:pt idx="279">
                    <c:v>Cash on Delivery</c:v>
                  </c:pt>
                  <c:pt idx="280">
                    <c:v>Cash on Delivery</c:v>
                  </c:pt>
                  <c:pt idx="281">
                    <c:v>UPI</c:v>
                  </c:pt>
                  <c:pt idx="282">
                    <c:v>Net Banking</c:v>
                  </c:pt>
                  <c:pt idx="283">
                    <c:v>UPI</c:v>
                  </c:pt>
                  <c:pt idx="284">
                    <c:v>Debit Card</c:v>
                  </c:pt>
                  <c:pt idx="285">
                    <c:v>Net Banking</c:v>
                  </c:pt>
                  <c:pt idx="286">
                    <c:v>Cash on Delivery</c:v>
                  </c:pt>
                  <c:pt idx="287">
                    <c:v>Cash on Delivery</c:v>
                  </c:pt>
                  <c:pt idx="288">
                    <c:v>Debit Card</c:v>
                  </c:pt>
                  <c:pt idx="289">
                    <c:v>Net Banking</c:v>
                  </c:pt>
                  <c:pt idx="290">
                    <c:v>Debit Card</c:v>
                  </c:pt>
                  <c:pt idx="291">
                    <c:v>Net Banking</c:v>
                  </c:pt>
                  <c:pt idx="292">
                    <c:v>Credit Card</c:v>
                  </c:pt>
                  <c:pt idx="293">
                    <c:v>Credit Card</c:v>
                  </c:pt>
                  <c:pt idx="294">
                    <c:v>Credit Card</c:v>
                  </c:pt>
                  <c:pt idx="295">
                    <c:v>UPI</c:v>
                  </c:pt>
                  <c:pt idx="296">
                    <c:v>UPI</c:v>
                  </c:pt>
                  <c:pt idx="297">
                    <c:v>Cash on Delivery</c:v>
                  </c:pt>
                  <c:pt idx="298">
                    <c:v>Debit Card</c:v>
                  </c:pt>
                  <c:pt idx="299">
                    <c:v>Credit Card</c:v>
                  </c:pt>
                </c:lvl>
                <c:lvl>
                  <c:pt idx="0">
                    <c:v>3</c:v>
                  </c:pt>
                  <c:pt idx="1">
                    <c:v>5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1</c:v>
                  </c:pt>
                  <c:pt idx="6">
                    <c:v>4</c:v>
                  </c:pt>
                  <c:pt idx="7">
                    <c:v>2</c:v>
                  </c:pt>
                  <c:pt idx="8">
                    <c:v>3</c:v>
                  </c:pt>
                  <c:pt idx="9">
                    <c:v>5</c:v>
                  </c:pt>
                  <c:pt idx="10">
                    <c:v>2</c:v>
                  </c:pt>
                  <c:pt idx="11">
                    <c:v>4</c:v>
                  </c:pt>
                  <c:pt idx="12">
                    <c:v>3</c:v>
                  </c:pt>
                  <c:pt idx="13">
                    <c:v>6</c:v>
                  </c:pt>
                  <c:pt idx="14">
                    <c:v>1</c:v>
                  </c:pt>
                  <c:pt idx="15">
                    <c:v>5</c:v>
                  </c:pt>
                  <c:pt idx="16">
                    <c:v>3</c:v>
                  </c:pt>
                  <c:pt idx="17">
                    <c:v>6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3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1</c:v>
                  </c:pt>
                  <c:pt idx="26">
                    <c:v>4</c:v>
                  </c:pt>
                  <c:pt idx="27">
                    <c:v>3</c:v>
                  </c:pt>
                  <c:pt idx="28">
                    <c:v>5</c:v>
                  </c:pt>
                  <c:pt idx="29">
                    <c:v>6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3</c:v>
                  </c:pt>
                  <c:pt idx="34">
                    <c:v>2</c:v>
                  </c:pt>
                  <c:pt idx="35">
                    <c:v>3</c:v>
                  </c:pt>
                  <c:pt idx="36">
                    <c:v>6</c:v>
                  </c:pt>
                  <c:pt idx="37">
                    <c:v>2</c:v>
                  </c:pt>
                  <c:pt idx="38">
                    <c:v>1</c:v>
                  </c:pt>
                  <c:pt idx="39">
                    <c:v>1</c:v>
                  </c:pt>
                  <c:pt idx="40">
                    <c:v>4</c:v>
                  </c:pt>
                  <c:pt idx="41">
                    <c:v>2</c:v>
                  </c:pt>
                  <c:pt idx="42">
                    <c:v>1</c:v>
                  </c:pt>
                  <c:pt idx="43">
                    <c:v>2</c:v>
                  </c:pt>
                  <c:pt idx="44">
                    <c:v>2</c:v>
                  </c:pt>
                  <c:pt idx="45">
                    <c:v>2</c:v>
                  </c:pt>
                  <c:pt idx="46">
                    <c:v>4</c:v>
                  </c:pt>
                  <c:pt idx="47">
                    <c:v>2</c:v>
                  </c:pt>
                  <c:pt idx="48">
                    <c:v>2</c:v>
                  </c:pt>
                  <c:pt idx="49">
                    <c:v>4</c:v>
                  </c:pt>
                  <c:pt idx="50">
                    <c:v>4</c:v>
                  </c:pt>
                  <c:pt idx="51">
                    <c:v>3</c:v>
                  </c:pt>
                  <c:pt idx="52">
                    <c:v>6</c:v>
                  </c:pt>
                  <c:pt idx="53">
                    <c:v>1</c:v>
                  </c:pt>
                  <c:pt idx="54">
                    <c:v>5</c:v>
                  </c:pt>
                  <c:pt idx="55">
                    <c:v>2</c:v>
                  </c:pt>
                  <c:pt idx="56">
                    <c:v>2</c:v>
                  </c:pt>
                  <c:pt idx="57">
                    <c:v>1</c:v>
                  </c:pt>
                  <c:pt idx="58">
                    <c:v>3</c:v>
                  </c:pt>
                  <c:pt idx="59">
                    <c:v>1</c:v>
                  </c:pt>
                  <c:pt idx="60">
                    <c:v>3</c:v>
                  </c:pt>
                  <c:pt idx="61">
                    <c:v>2</c:v>
                  </c:pt>
                  <c:pt idx="62">
                    <c:v>3</c:v>
                  </c:pt>
                  <c:pt idx="63">
                    <c:v>3</c:v>
                  </c:pt>
                  <c:pt idx="64">
                    <c:v>3</c:v>
                  </c:pt>
                  <c:pt idx="65">
                    <c:v>2</c:v>
                  </c:pt>
                  <c:pt idx="66">
                    <c:v>2</c:v>
                  </c:pt>
                  <c:pt idx="67">
                    <c:v>3</c:v>
                  </c:pt>
                  <c:pt idx="68">
                    <c:v>3</c:v>
                  </c:pt>
                  <c:pt idx="69">
                    <c:v>1</c:v>
                  </c:pt>
                  <c:pt idx="70">
                    <c:v>1</c:v>
                  </c:pt>
                  <c:pt idx="71">
                    <c:v>2</c:v>
                  </c:pt>
                  <c:pt idx="72">
                    <c:v>2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3</c:v>
                  </c:pt>
                  <c:pt idx="77">
                    <c:v>4</c:v>
                  </c:pt>
                  <c:pt idx="78">
                    <c:v>2</c:v>
                  </c:pt>
                  <c:pt idx="79">
                    <c:v>4</c:v>
                  </c:pt>
                  <c:pt idx="80">
                    <c:v>3</c:v>
                  </c:pt>
                  <c:pt idx="81">
                    <c:v>4</c:v>
                  </c:pt>
                  <c:pt idx="82">
                    <c:v>6</c:v>
                  </c:pt>
                  <c:pt idx="83">
                    <c:v>3</c:v>
                  </c:pt>
                  <c:pt idx="84">
                    <c:v>4</c:v>
                  </c:pt>
                  <c:pt idx="85">
                    <c:v>4</c:v>
                  </c:pt>
                  <c:pt idx="86">
                    <c:v>3</c:v>
                  </c:pt>
                  <c:pt idx="87">
                    <c:v>4</c:v>
                  </c:pt>
                  <c:pt idx="88">
                    <c:v>2</c:v>
                  </c:pt>
                  <c:pt idx="89">
                    <c:v>3</c:v>
                  </c:pt>
                  <c:pt idx="90">
                    <c:v>3</c:v>
                  </c:pt>
                  <c:pt idx="91">
                    <c:v>2</c:v>
                  </c:pt>
                  <c:pt idx="92">
                    <c:v>2</c:v>
                  </c:pt>
                  <c:pt idx="93">
                    <c:v>4</c:v>
                  </c:pt>
                  <c:pt idx="94">
                    <c:v>3</c:v>
                  </c:pt>
                  <c:pt idx="95">
                    <c:v>5</c:v>
                  </c:pt>
                  <c:pt idx="96">
                    <c:v>1</c:v>
                  </c:pt>
                  <c:pt idx="97">
                    <c:v>4</c:v>
                  </c:pt>
                  <c:pt idx="98">
                    <c:v>3</c:v>
                  </c:pt>
                  <c:pt idx="99">
                    <c:v>4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6</c:v>
                  </c:pt>
                  <c:pt idx="103">
                    <c:v>4</c:v>
                  </c:pt>
                  <c:pt idx="104">
                    <c:v>3</c:v>
                  </c:pt>
                  <c:pt idx="105">
                    <c:v>4</c:v>
                  </c:pt>
                  <c:pt idx="106">
                    <c:v>4</c:v>
                  </c:pt>
                  <c:pt idx="107">
                    <c:v>4</c:v>
                  </c:pt>
                  <c:pt idx="108">
                    <c:v>3</c:v>
                  </c:pt>
                  <c:pt idx="109">
                    <c:v>1</c:v>
                  </c:pt>
                  <c:pt idx="110">
                    <c:v>3</c:v>
                  </c:pt>
                  <c:pt idx="111">
                    <c:v>2</c:v>
                  </c:pt>
                  <c:pt idx="112">
                    <c:v>3</c:v>
                  </c:pt>
                  <c:pt idx="113">
                    <c:v>3</c:v>
                  </c:pt>
                  <c:pt idx="114">
                    <c:v>2</c:v>
                  </c:pt>
                  <c:pt idx="115">
                    <c:v>6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2</c:v>
                  </c:pt>
                  <c:pt idx="119">
                    <c:v>4</c:v>
                  </c:pt>
                  <c:pt idx="120">
                    <c:v>4</c:v>
                  </c:pt>
                  <c:pt idx="121">
                    <c:v>4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5</c:v>
                  </c:pt>
                  <c:pt idx="127">
                    <c:v>3</c:v>
                  </c:pt>
                  <c:pt idx="128">
                    <c:v>3</c:v>
                  </c:pt>
                  <c:pt idx="129">
                    <c:v>3</c:v>
                  </c:pt>
                  <c:pt idx="130">
                    <c:v>4</c:v>
                  </c:pt>
                  <c:pt idx="131">
                    <c:v>3</c:v>
                  </c:pt>
                  <c:pt idx="132">
                    <c:v>4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3</c:v>
                  </c:pt>
                  <c:pt idx="136">
                    <c:v>2</c:v>
                  </c:pt>
                  <c:pt idx="137">
                    <c:v>1</c:v>
                  </c:pt>
                  <c:pt idx="138">
                    <c:v>5</c:v>
                  </c:pt>
                  <c:pt idx="139">
                    <c:v>4</c:v>
                  </c:pt>
                  <c:pt idx="140">
                    <c:v>3</c:v>
                  </c:pt>
                  <c:pt idx="141">
                    <c:v>2</c:v>
                  </c:pt>
                  <c:pt idx="142">
                    <c:v>2</c:v>
                  </c:pt>
                  <c:pt idx="143">
                    <c:v>3</c:v>
                  </c:pt>
                  <c:pt idx="144">
                    <c:v>4</c:v>
                  </c:pt>
                  <c:pt idx="145">
                    <c:v>2</c:v>
                  </c:pt>
                  <c:pt idx="146">
                    <c:v>1</c:v>
                  </c:pt>
                  <c:pt idx="147">
                    <c:v>2</c:v>
                  </c:pt>
                  <c:pt idx="148">
                    <c:v>2</c:v>
                  </c:pt>
                  <c:pt idx="149">
                    <c:v>3</c:v>
                  </c:pt>
                  <c:pt idx="150">
                    <c:v>3</c:v>
                  </c:pt>
                  <c:pt idx="151">
                    <c:v>2</c:v>
                  </c:pt>
                  <c:pt idx="152">
                    <c:v>4</c:v>
                  </c:pt>
                  <c:pt idx="153">
                    <c:v>3</c:v>
                  </c:pt>
                  <c:pt idx="154">
                    <c:v>4</c:v>
                  </c:pt>
                  <c:pt idx="155">
                    <c:v>4</c:v>
                  </c:pt>
                  <c:pt idx="156">
                    <c:v>1</c:v>
                  </c:pt>
                  <c:pt idx="157">
                    <c:v>4</c:v>
                  </c:pt>
                  <c:pt idx="158">
                    <c:v>5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3</c:v>
                  </c:pt>
                  <c:pt idx="162">
                    <c:v>4</c:v>
                  </c:pt>
                  <c:pt idx="163">
                    <c:v>6</c:v>
                  </c:pt>
                  <c:pt idx="164">
                    <c:v>3</c:v>
                  </c:pt>
                  <c:pt idx="165">
                    <c:v>2</c:v>
                  </c:pt>
                  <c:pt idx="166">
                    <c:v>5</c:v>
                  </c:pt>
                  <c:pt idx="167">
                    <c:v>4</c:v>
                  </c:pt>
                  <c:pt idx="168">
                    <c:v>2</c:v>
                  </c:pt>
                  <c:pt idx="169">
                    <c:v>2</c:v>
                  </c:pt>
                  <c:pt idx="170">
                    <c:v>2</c:v>
                  </c:pt>
                  <c:pt idx="171">
                    <c:v>3</c:v>
                  </c:pt>
                  <c:pt idx="172">
                    <c:v>5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3</c:v>
                  </c:pt>
                  <c:pt idx="176">
                    <c:v>3</c:v>
                  </c:pt>
                  <c:pt idx="177">
                    <c:v>2</c:v>
                  </c:pt>
                  <c:pt idx="178">
                    <c:v>2</c:v>
                  </c:pt>
                  <c:pt idx="179">
                    <c:v>3</c:v>
                  </c:pt>
                  <c:pt idx="180">
                    <c:v>6</c:v>
                  </c:pt>
                  <c:pt idx="181">
                    <c:v>3</c:v>
                  </c:pt>
                  <c:pt idx="182">
                    <c:v>5</c:v>
                  </c:pt>
                  <c:pt idx="183">
                    <c:v>3</c:v>
                  </c:pt>
                  <c:pt idx="184">
                    <c:v>2</c:v>
                  </c:pt>
                  <c:pt idx="185">
                    <c:v>4</c:v>
                  </c:pt>
                  <c:pt idx="186">
                    <c:v>2</c:v>
                  </c:pt>
                  <c:pt idx="187">
                    <c:v>4</c:v>
                  </c:pt>
                  <c:pt idx="188">
                    <c:v>3</c:v>
                  </c:pt>
                  <c:pt idx="189">
                    <c:v>2</c:v>
                  </c:pt>
                  <c:pt idx="190">
                    <c:v>5</c:v>
                  </c:pt>
                  <c:pt idx="191">
                    <c:v>4</c:v>
                  </c:pt>
                  <c:pt idx="192">
                    <c:v>2</c:v>
                  </c:pt>
                  <c:pt idx="193">
                    <c:v>4</c:v>
                  </c:pt>
                  <c:pt idx="194">
                    <c:v>1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3</c:v>
                  </c:pt>
                  <c:pt idx="199">
                    <c:v>5</c:v>
                  </c:pt>
                  <c:pt idx="200">
                    <c:v>4</c:v>
                  </c:pt>
                  <c:pt idx="201">
                    <c:v>3</c:v>
                  </c:pt>
                  <c:pt idx="202">
                    <c:v>3</c:v>
                  </c:pt>
                  <c:pt idx="203">
                    <c:v>5</c:v>
                  </c:pt>
                  <c:pt idx="204">
                    <c:v>2</c:v>
                  </c:pt>
                  <c:pt idx="205">
                    <c:v>4</c:v>
                  </c:pt>
                  <c:pt idx="206">
                    <c:v>4</c:v>
                  </c:pt>
                  <c:pt idx="207">
                    <c:v>2</c:v>
                  </c:pt>
                  <c:pt idx="208">
                    <c:v>2</c:v>
                  </c:pt>
                  <c:pt idx="209">
                    <c:v>3</c:v>
                  </c:pt>
                  <c:pt idx="210">
                    <c:v>2</c:v>
                  </c:pt>
                  <c:pt idx="211">
                    <c:v>6</c:v>
                  </c:pt>
                  <c:pt idx="212">
                    <c:v>1</c:v>
                  </c:pt>
                  <c:pt idx="213">
                    <c:v>1</c:v>
                  </c:pt>
                  <c:pt idx="214">
                    <c:v>2</c:v>
                  </c:pt>
                  <c:pt idx="215">
                    <c:v>2</c:v>
                  </c:pt>
                  <c:pt idx="216">
                    <c:v>2</c:v>
                  </c:pt>
                  <c:pt idx="217">
                    <c:v>1</c:v>
                  </c:pt>
                  <c:pt idx="218">
                    <c:v>4</c:v>
                  </c:pt>
                  <c:pt idx="219">
                    <c:v>1</c:v>
                  </c:pt>
                  <c:pt idx="220">
                    <c:v>3</c:v>
                  </c:pt>
                  <c:pt idx="221">
                    <c:v>2</c:v>
                  </c:pt>
                  <c:pt idx="222">
                    <c:v>3</c:v>
                  </c:pt>
                  <c:pt idx="223">
                    <c:v>3</c:v>
                  </c:pt>
                  <c:pt idx="224">
                    <c:v>2</c:v>
                  </c:pt>
                  <c:pt idx="225">
                    <c:v>3</c:v>
                  </c:pt>
                  <c:pt idx="226">
                    <c:v>2</c:v>
                  </c:pt>
                  <c:pt idx="227">
                    <c:v>6</c:v>
                  </c:pt>
                  <c:pt idx="228">
                    <c:v>1</c:v>
                  </c:pt>
                  <c:pt idx="229">
                    <c:v>3</c:v>
                  </c:pt>
                  <c:pt idx="230">
                    <c:v>4</c:v>
                  </c:pt>
                  <c:pt idx="231">
                    <c:v>2</c:v>
                  </c:pt>
                  <c:pt idx="232">
                    <c:v>4</c:v>
                  </c:pt>
                  <c:pt idx="233">
                    <c:v>3</c:v>
                  </c:pt>
                  <c:pt idx="234">
                    <c:v>3</c:v>
                  </c:pt>
                  <c:pt idx="235">
                    <c:v>5</c:v>
                  </c:pt>
                  <c:pt idx="236">
                    <c:v>4</c:v>
                  </c:pt>
                  <c:pt idx="237">
                    <c:v>2</c:v>
                  </c:pt>
                  <c:pt idx="238">
                    <c:v>6</c:v>
                  </c:pt>
                  <c:pt idx="239">
                    <c:v>3</c:v>
                  </c:pt>
                  <c:pt idx="240">
                    <c:v>3</c:v>
                  </c:pt>
                  <c:pt idx="241">
                    <c:v>3</c:v>
                  </c:pt>
                  <c:pt idx="242">
                    <c:v>3</c:v>
                  </c:pt>
                  <c:pt idx="243">
                    <c:v>2</c:v>
                  </c:pt>
                  <c:pt idx="244">
                    <c:v>5</c:v>
                  </c:pt>
                  <c:pt idx="245">
                    <c:v>3</c:v>
                  </c:pt>
                  <c:pt idx="246">
                    <c:v>3</c:v>
                  </c:pt>
                  <c:pt idx="247">
                    <c:v>2</c:v>
                  </c:pt>
                  <c:pt idx="248">
                    <c:v>2</c:v>
                  </c:pt>
                  <c:pt idx="249">
                    <c:v>1</c:v>
                  </c:pt>
                  <c:pt idx="250">
                    <c:v>2</c:v>
                  </c:pt>
                  <c:pt idx="251">
                    <c:v>3</c:v>
                  </c:pt>
                  <c:pt idx="252">
                    <c:v>2</c:v>
                  </c:pt>
                  <c:pt idx="253">
                    <c:v>2</c:v>
                  </c:pt>
                  <c:pt idx="254">
                    <c:v>2</c:v>
                  </c:pt>
                  <c:pt idx="255">
                    <c:v>1</c:v>
                  </c:pt>
                  <c:pt idx="256">
                    <c:v>2</c:v>
                  </c:pt>
                  <c:pt idx="257">
                    <c:v>4</c:v>
                  </c:pt>
                  <c:pt idx="258">
                    <c:v>2</c:v>
                  </c:pt>
                  <c:pt idx="259">
                    <c:v>4</c:v>
                  </c:pt>
                  <c:pt idx="260">
                    <c:v>3</c:v>
                  </c:pt>
                  <c:pt idx="261">
                    <c:v>5</c:v>
                  </c:pt>
                  <c:pt idx="262">
                    <c:v>2</c:v>
                  </c:pt>
                  <c:pt idx="263">
                    <c:v>4</c:v>
                  </c:pt>
                  <c:pt idx="264">
                    <c:v>4</c:v>
                  </c:pt>
                  <c:pt idx="265">
                    <c:v>1</c:v>
                  </c:pt>
                  <c:pt idx="266">
                    <c:v>2</c:v>
                  </c:pt>
                  <c:pt idx="267">
                    <c:v>2</c:v>
                  </c:pt>
                  <c:pt idx="268">
                    <c:v>3</c:v>
                  </c:pt>
                  <c:pt idx="269">
                    <c:v>2</c:v>
                  </c:pt>
                  <c:pt idx="270">
                    <c:v>3</c:v>
                  </c:pt>
                  <c:pt idx="271">
                    <c:v>2</c:v>
                  </c:pt>
                  <c:pt idx="272">
                    <c:v>2</c:v>
                  </c:pt>
                  <c:pt idx="273">
                    <c:v>4</c:v>
                  </c:pt>
                  <c:pt idx="274">
                    <c:v>3</c:v>
                  </c:pt>
                  <c:pt idx="275">
                    <c:v>4</c:v>
                  </c:pt>
                  <c:pt idx="276">
                    <c:v>2</c:v>
                  </c:pt>
                  <c:pt idx="277">
                    <c:v>2</c:v>
                  </c:pt>
                  <c:pt idx="278">
                    <c:v>2</c:v>
                  </c:pt>
                  <c:pt idx="279">
                    <c:v>2</c:v>
                  </c:pt>
                  <c:pt idx="280">
                    <c:v>3</c:v>
                  </c:pt>
                  <c:pt idx="281">
                    <c:v>6</c:v>
                  </c:pt>
                  <c:pt idx="282">
                    <c:v>1</c:v>
                  </c:pt>
                  <c:pt idx="283">
                    <c:v>3</c:v>
                  </c:pt>
                  <c:pt idx="284">
                    <c:v>2</c:v>
                  </c:pt>
                  <c:pt idx="285">
                    <c:v>4</c:v>
                  </c:pt>
                  <c:pt idx="286">
                    <c:v>6</c:v>
                  </c:pt>
                  <c:pt idx="287">
                    <c:v>1</c:v>
                  </c:pt>
                  <c:pt idx="288">
                    <c:v>2</c:v>
                  </c:pt>
                  <c:pt idx="289">
                    <c:v>4</c:v>
                  </c:pt>
                  <c:pt idx="290">
                    <c:v>6</c:v>
                  </c:pt>
                  <c:pt idx="291">
                    <c:v>3</c:v>
                  </c:pt>
                  <c:pt idx="292">
                    <c:v>3</c:v>
                  </c:pt>
                  <c:pt idx="293">
                    <c:v>5</c:v>
                  </c:pt>
                  <c:pt idx="294">
                    <c:v>3</c:v>
                  </c:pt>
                  <c:pt idx="295">
                    <c:v>1</c:v>
                  </c:pt>
                  <c:pt idx="296">
                    <c:v>2</c:v>
                  </c:pt>
                  <c:pt idx="297">
                    <c:v>4</c:v>
                  </c:pt>
                  <c:pt idx="298">
                    <c:v>2</c:v>
                  </c:pt>
                  <c:pt idx="299">
                    <c:v>3</c:v>
                  </c:pt>
                </c:lvl>
                <c:lvl>
                  <c:pt idx="0">
                    <c:v>4</c:v>
                  </c:pt>
                  <c:pt idx="1">
                    <c:v>2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1</c:v>
                  </c:pt>
                  <c:pt idx="6">
                    <c:v>3</c:v>
                  </c:pt>
                  <c:pt idx="7">
                    <c:v>3</c:v>
                  </c:pt>
                  <c:pt idx="8">
                    <c:v>2</c:v>
                  </c:pt>
                  <c:pt idx="9">
                    <c:v>4</c:v>
                  </c:pt>
                  <c:pt idx="10">
                    <c:v>3</c:v>
                  </c:pt>
                  <c:pt idx="11">
                    <c:v>4</c:v>
                  </c:pt>
                  <c:pt idx="12">
                    <c:v>2</c:v>
                  </c:pt>
                  <c:pt idx="13">
                    <c:v>3</c:v>
                  </c:pt>
                  <c:pt idx="14">
                    <c:v>2</c:v>
                  </c:pt>
                  <c:pt idx="15">
                    <c:v>4</c:v>
                  </c:pt>
                  <c:pt idx="16">
                    <c:v>3</c:v>
                  </c:pt>
                  <c:pt idx="17">
                    <c:v>4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4</c:v>
                  </c:pt>
                  <c:pt idx="24">
                    <c:v>4</c:v>
                  </c:pt>
                  <c:pt idx="25">
                    <c:v>2</c:v>
                  </c:pt>
                  <c:pt idx="26">
                    <c:v>2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2</c:v>
                  </c:pt>
                  <c:pt idx="31">
                    <c:v>2</c:v>
                  </c:pt>
                  <c:pt idx="32">
                    <c:v>3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3</c:v>
                  </c:pt>
                  <c:pt idx="37">
                    <c:v>2</c:v>
                  </c:pt>
                  <c:pt idx="38">
                    <c:v>1</c:v>
                  </c:pt>
                  <c:pt idx="39">
                    <c:v>2</c:v>
                  </c:pt>
                  <c:pt idx="40">
                    <c:v>3</c:v>
                  </c:pt>
                  <c:pt idx="41">
                    <c:v>2</c:v>
                  </c:pt>
                  <c:pt idx="42">
                    <c:v>2</c:v>
                  </c:pt>
                  <c:pt idx="43">
                    <c:v>2</c:v>
                  </c:pt>
                  <c:pt idx="44">
                    <c:v>2</c:v>
                  </c:pt>
                  <c:pt idx="45">
                    <c:v>1</c:v>
                  </c:pt>
                  <c:pt idx="46">
                    <c:v>4</c:v>
                  </c:pt>
                  <c:pt idx="47">
                    <c:v>2</c:v>
                  </c:pt>
                  <c:pt idx="48">
                    <c:v>1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4</c:v>
                  </c:pt>
                  <c:pt idx="53">
                    <c:v>1</c:v>
                  </c:pt>
                  <c:pt idx="54">
                    <c:v>4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3</c:v>
                  </c:pt>
                  <c:pt idx="59">
                    <c:v>1</c:v>
                  </c:pt>
                  <c:pt idx="60">
                    <c:v>2</c:v>
                  </c:pt>
                  <c:pt idx="61">
                    <c:v>2</c:v>
                  </c:pt>
                  <c:pt idx="62">
                    <c:v>3</c:v>
                  </c:pt>
                  <c:pt idx="63">
                    <c:v>3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3</c:v>
                  </c:pt>
                  <c:pt idx="68">
                    <c:v>3</c:v>
                  </c:pt>
                  <c:pt idx="69">
                    <c:v>1</c:v>
                  </c:pt>
                  <c:pt idx="70">
                    <c:v>2</c:v>
                  </c:pt>
                  <c:pt idx="71">
                    <c:v>2</c:v>
                  </c:pt>
                  <c:pt idx="72">
                    <c:v>2</c:v>
                  </c:pt>
                  <c:pt idx="73">
                    <c:v>2</c:v>
                  </c:pt>
                  <c:pt idx="74">
                    <c:v>2</c:v>
                  </c:pt>
                  <c:pt idx="75">
                    <c:v>1</c:v>
                  </c:pt>
                  <c:pt idx="76">
                    <c:v>2</c:v>
                  </c:pt>
                  <c:pt idx="77">
                    <c:v>4</c:v>
                  </c:pt>
                  <c:pt idx="78">
                    <c:v>1</c:v>
                  </c:pt>
                  <c:pt idx="79">
                    <c:v>4</c:v>
                  </c:pt>
                  <c:pt idx="80">
                    <c:v>3</c:v>
                  </c:pt>
                  <c:pt idx="81">
                    <c:v>3</c:v>
                  </c:pt>
                  <c:pt idx="82">
                    <c:v>3</c:v>
                  </c:pt>
                  <c:pt idx="83">
                    <c:v>3</c:v>
                  </c:pt>
                  <c:pt idx="84">
                    <c:v>3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3</c:v>
                  </c:pt>
                  <c:pt idx="89">
                    <c:v>3</c:v>
                  </c:pt>
                  <c:pt idx="90">
                    <c:v>4</c:v>
                  </c:pt>
                  <c:pt idx="91">
                    <c:v>2</c:v>
                  </c:pt>
                  <c:pt idx="92">
                    <c:v>2</c:v>
                  </c:pt>
                  <c:pt idx="93">
                    <c:v>3</c:v>
                  </c:pt>
                  <c:pt idx="94">
                    <c:v>3</c:v>
                  </c:pt>
                  <c:pt idx="95">
                    <c:v>3</c:v>
                  </c:pt>
                  <c:pt idx="96">
                    <c:v>1</c:v>
                  </c:pt>
                  <c:pt idx="97">
                    <c:v>3</c:v>
                  </c:pt>
                  <c:pt idx="98">
                    <c:v>2</c:v>
                  </c:pt>
                  <c:pt idx="99">
                    <c:v>4</c:v>
                  </c:pt>
                  <c:pt idx="100">
                    <c:v>3</c:v>
                  </c:pt>
                  <c:pt idx="101">
                    <c:v>2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3</c:v>
                  </c:pt>
                  <c:pt idx="109">
                    <c:v>1</c:v>
                  </c:pt>
                  <c:pt idx="110">
                    <c:v>3</c:v>
                  </c:pt>
                  <c:pt idx="111">
                    <c:v>3</c:v>
                  </c:pt>
                  <c:pt idx="112">
                    <c:v>3</c:v>
                  </c:pt>
                  <c:pt idx="113">
                    <c:v>2</c:v>
                  </c:pt>
                  <c:pt idx="114">
                    <c:v>1</c:v>
                  </c:pt>
                  <c:pt idx="115">
                    <c:v>3</c:v>
                  </c:pt>
                  <c:pt idx="116">
                    <c:v>3</c:v>
                  </c:pt>
                  <c:pt idx="117">
                    <c:v>4</c:v>
                  </c:pt>
                  <c:pt idx="118">
                    <c:v>2</c:v>
                  </c:pt>
                  <c:pt idx="119">
                    <c:v>3</c:v>
                  </c:pt>
                  <c:pt idx="120">
                    <c:v>3</c:v>
                  </c:pt>
                  <c:pt idx="121">
                    <c:v>4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3</c:v>
                  </c:pt>
                  <c:pt idx="126">
                    <c:v>2</c:v>
                  </c:pt>
                  <c:pt idx="127">
                    <c:v>3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3</c:v>
                  </c:pt>
                  <c:pt idx="131">
                    <c:v>3</c:v>
                  </c:pt>
                  <c:pt idx="132">
                    <c:v>3</c:v>
                  </c:pt>
                  <c:pt idx="133">
                    <c:v>2</c:v>
                  </c:pt>
                  <c:pt idx="134">
                    <c:v>2</c:v>
                  </c:pt>
                  <c:pt idx="135">
                    <c:v>3</c:v>
                  </c:pt>
                  <c:pt idx="136">
                    <c:v>2</c:v>
                  </c:pt>
                  <c:pt idx="137">
                    <c:v>1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4</c:v>
                  </c:pt>
                  <c:pt idx="141">
                    <c:v>2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4</c:v>
                  </c:pt>
                  <c:pt idx="145">
                    <c:v>2</c:v>
                  </c:pt>
                  <c:pt idx="146">
                    <c:v>1</c:v>
                  </c:pt>
                  <c:pt idx="147">
                    <c:v>2</c:v>
                  </c:pt>
                  <c:pt idx="148">
                    <c:v>3</c:v>
                  </c:pt>
                  <c:pt idx="149">
                    <c:v>3</c:v>
                  </c:pt>
                  <c:pt idx="150">
                    <c:v>3</c:v>
                  </c:pt>
                  <c:pt idx="151">
                    <c:v>2</c:v>
                  </c:pt>
                  <c:pt idx="152">
                    <c:v>4</c:v>
                  </c:pt>
                  <c:pt idx="153">
                    <c:v>3</c:v>
                  </c:pt>
                  <c:pt idx="154">
                    <c:v>2</c:v>
                  </c:pt>
                  <c:pt idx="155">
                    <c:v>4</c:v>
                  </c:pt>
                  <c:pt idx="156">
                    <c:v>1</c:v>
                  </c:pt>
                  <c:pt idx="157">
                    <c:v>4</c:v>
                  </c:pt>
                  <c:pt idx="158">
                    <c:v>3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3</c:v>
                  </c:pt>
                  <c:pt idx="162">
                    <c:v>3</c:v>
                  </c:pt>
                  <c:pt idx="163">
                    <c:v>4</c:v>
                  </c:pt>
                  <c:pt idx="164">
                    <c:v>3</c:v>
                  </c:pt>
                  <c:pt idx="165">
                    <c:v>3</c:v>
                  </c:pt>
                  <c:pt idx="166">
                    <c:v>4</c:v>
                  </c:pt>
                  <c:pt idx="167">
                    <c:v>3</c:v>
                  </c:pt>
                  <c:pt idx="168">
                    <c:v>2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2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3</c:v>
                  </c:pt>
                  <c:pt idx="176">
                    <c:v>3</c:v>
                  </c:pt>
                  <c:pt idx="177">
                    <c:v>2</c:v>
                  </c:pt>
                  <c:pt idx="178">
                    <c:v>2</c:v>
                  </c:pt>
                  <c:pt idx="179">
                    <c:v>2</c:v>
                  </c:pt>
                  <c:pt idx="180">
                    <c:v>3</c:v>
                  </c:pt>
                  <c:pt idx="181">
                    <c:v>3</c:v>
                  </c:pt>
                  <c:pt idx="182">
                    <c:v>4</c:v>
                  </c:pt>
                  <c:pt idx="183">
                    <c:v>3</c:v>
                  </c:pt>
                  <c:pt idx="184">
                    <c:v>2</c:v>
                  </c:pt>
                  <c:pt idx="185">
                    <c:v>3</c:v>
                  </c:pt>
                  <c:pt idx="186">
                    <c:v>2</c:v>
                  </c:pt>
                  <c:pt idx="187">
                    <c:v>4</c:v>
                  </c:pt>
                  <c:pt idx="188">
                    <c:v>3</c:v>
                  </c:pt>
                  <c:pt idx="189">
                    <c:v>2</c:v>
                  </c:pt>
                  <c:pt idx="190">
                    <c:v>4</c:v>
                  </c:pt>
                  <c:pt idx="191">
                    <c:v>3</c:v>
                  </c:pt>
                  <c:pt idx="192">
                    <c:v>2</c:v>
                  </c:pt>
                  <c:pt idx="193">
                    <c:v>4</c:v>
                  </c:pt>
                  <c:pt idx="194">
                    <c:v>2</c:v>
                  </c:pt>
                  <c:pt idx="195">
                    <c:v>3</c:v>
                  </c:pt>
                  <c:pt idx="196">
                    <c:v>2</c:v>
                  </c:pt>
                  <c:pt idx="197">
                    <c:v>3</c:v>
                  </c:pt>
                  <c:pt idx="198">
                    <c:v>3</c:v>
                  </c:pt>
                  <c:pt idx="199">
                    <c:v>3</c:v>
                  </c:pt>
                  <c:pt idx="200">
                    <c:v>3</c:v>
                  </c:pt>
                  <c:pt idx="201">
                    <c:v>3</c:v>
                  </c:pt>
                  <c:pt idx="202">
                    <c:v>3</c:v>
                  </c:pt>
                  <c:pt idx="203">
                    <c:v>3</c:v>
                  </c:pt>
                  <c:pt idx="204">
                    <c:v>2</c:v>
                  </c:pt>
                  <c:pt idx="205">
                    <c:v>4</c:v>
                  </c:pt>
                  <c:pt idx="206">
                    <c:v>3</c:v>
                  </c:pt>
                  <c:pt idx="207">
                    <c:v>3</c:v>
                  </c:pt>
                  <c:pt idx="208">
                    <c:v>3</c:v>
                  </c:pt>
                  <c:pt idx="209">
                    <c:v>3</c:v>
                  </c:pt>
                  <c:pt idx="210">
                    <c:v>2</c:v>
                  </c:pt>
                  <c:pt idx="211">
                    <c:v>3</c:v>
                  </c:pt>
                  <c:pt idx="212">
                    <c:v>1</c:v>
                  </c:pt>
                  <c:pt idx="213">
                    <c:v>2</c:v>
                  </c:pt>
                  <c:pt idx="214">
                    <c:v>3</c:v>
                  </c:pt>
                  <c:pt idx="215">
                    <c:v>2</c:v>
                  </c:pt>
                  <c:pt idx="216">
                    <c:v>2</c:v>
                  </c:pt>
                  <c:pt idx="217">
                    <c:v>1</c:v>
                  </c:pt>
                  <c:pt idx="218">
                    <c:v>3</c:v>
                  </c:pt>
                  <c:pt idx="219">
                    <c:v>2</c:v>
                  </c:pt>
                  <c:pt idx="220">
                    <c:v>2</c:v>
                  </c:pt>
                  <c:pt idx="221">
                    <c:v>2</c:v>
                  </c:pt>
                  <c:pt idx="222">
                    <c:v>3</c:v>
                  </c:pt>
                  <c:pt idx="223">
                    <c:v>2</c:v>
                  </c:pt>
                  <c:pt idx="224">
                    <c:v>2</c:v>
                  </c:pt>
                  <c:pt idx="225">
                    <c:v>3</c:v>
                  </c:pt>
                  <c:pt idx="226">
                    <c:v>2</c:v>
                  </c:pt>
                  <c:pt idx="227">
                    <c:v>3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2</c:v>
                  </c:pt>
                  <c:pt idx="232">
                    <c:v>3</c:v>
                  </c:pt>
                  <c:pt idx="233">
                    <c:v>3</c:v>
                  </c:pt>
                  <c:pt idx="234">
                    <c:v>2</c:v>
                  </c:pt>
                  <c:pt idx="235">
                    <c:v>4</c:v>
                  </c:pt>
                  <c:pt idx="236">
                    <c:v>3</c:v>
                  </c:pt>
                  <c:pt idx="237">
                    <c:v>2</c:v>
                  </c:pt>
                  <c:pt idx="238">
                    <c:v>3</c:v>
                  </c:pt>
                  <c:pt idx="239">
                    <c:v>3</c:v>
                  </c:pt>
                  <c:pt idx="240">
                    <c:v>3</c:v>
                  </c:pt>
                  <c:pt idx="241">
                    <c:v>3</c:v>
                  </c:pt>
                  <c:pt idx="242">
                    <c:v>3</c:v>
                  </c:pt>
                  <c:pt idx="243">
                    <c:v>2</c:v>
                  </c:pt>
                  <c:pt idx="244">
                    <c:v>3</c:v>
                  </c:pt>
                  <c:pt idx="245">
                    <c:v>3</c:v>
                  </c:pt>
                  <c:pt idx="246">
                    <c:v>3</c:v>
                  </c:pt>
                  <c:pt idx="247">
                    <c:v>2</c:v>
                  </c:pt>
                  <c:pt idx="248">
                    <c:v>1</c:v>
                  </c:pt>
                  <c:pt idx="249">
                    <c:v>1</c:v>
                  </c:pt>
                  <c:pt idx="250">
                    <c:v>2</c:v>
                  </c:pt>
                  <c:pt idx="251">
                    <c:v>3</c:v>
                  </c:pt>
                  <c:pt idx="252">
                    <c:v>2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1</c:v>
                  </c:pt>
                  <c:pt idx="256">
                    <c:v>2</c:v>
                  </c:pt>
                  <c:pt idx="257">
                    <c:v>2</c:v>
                  </c:pt>
                  <c:pt idx="258">
                    <c:v>2</c:v>
                  </c:pt>
                  <c:pt idx="259">
                    <c:v>4</c:v>
                  </c:pt>
                  <c:pt idx="260">
                    <c:v>3</c:v>
                  </c:pt>
                  <c:pt idx="261">
                    <c:v>4</c:v>
                  </c:pt>
                  <c:pt idx="262">
                    <c:v>2</c:v>
                  </c:pt>
                  <c:pt idx="263">
                    <c:v>4</c:v>
                  </c:pt>
                  <c:pt idx="264">
                    <c:v>3</c:v>
                  </c:pt>
                  <c:pt idx="265">
                    <c:v>1</c:v>
                  </c:pt>
                  <c:pt idx="266">
                    <c:v>2</c:v>
                  </c:pt>
                  <c:pt idx="267">
                    <c:v>3</c:v>
                  </c:pt>
                  <c:pt idx="268">
                    <c:v>3</c:v>
                  </c:pt>
                  <c:pt idx="269">
                    <c:v>1</c:v>
                  </c:pt>
                  <c:pt idx="270">
                    <c:v>2</c:v>
                  </c:pt>
                  <c:pt idx="271">
                    <c:v>3</c:v>
                  </c:pt>
                  <c:pt idx="272">
                    <c:v>2</c:v>
                  </c:pt>
                  <c:pt idx="273">
                    <c:v>3</c:v>
                  </c:pt>
                  <c:pt idx="274">
                    <c:v>2</c:v>
                  </c:pt>
                  <c:pt idx="275">
                    <c:v>4</c:v>
                  </c:pt>
                  <c:pt idx="276">
                    <c:v>2</c:v>
                  </c:pt>
                  <c:pt idx="277">
                    <c:v>3</c:v>
                  </c:pt>
                  <c:pt idx="278">
                    <c:v>1</c:v>
                  </c:pt>
                  <c:pt idx="279">
                    <c:v>2</c:v>
                  </c:pt>
                  <c:pt idx="280">
                    <c:v>2</c:v>
                  </c:pt>
                  <c:pt idx="281">
                    <c:v>3</c:v>
                  </c:pt>
                  <c:pt idx="282">
                    <c:v>1</c:v>
                  </c:pt>
                  <c:pt idx="283">
                    <c:v>3</c:v>
                  </c:pt>
                  <c:pt idx="284">
                    <c:v>2</c:v>
                  </c:pt>
                  <c:pt idx="285">
                    <c:v>3</c:v>
                  </c:pt>
                  <c:pt idx="286">
                    <c:v>3</c:v>
                  </c:pt>
                  <c:pt idx="287">
                    <c:v>1</c:v>
                  </c:pt>
                  <c:pt idx="288">
                    <c:v>3</c:v>
                  </c:pt>
                  <c:pt idx="289">
                    <c:v>3</c:v>
                  </c:pt>
                  <c:pt idx="290">
                    <c:v>3</c:v>
                  </c:pt>
                  <c:pt idx="291">
                    <c:v>3</c:v>
                  </c:pt>
                  <c:pt idx="292">
                    <c:v>3</c:v>
                  </c:pt>
                  <c:pt idx="293">
                    <c:v>3</c:v>
                  </c:pt>
                  <c:pt idx="294">
                    <c:v>3</c:v>
                  </c:pt>
                  <c:pt idx="295">
                    <c:v>2</c:v>
                  </c:pt>
                  <c:pt idx="296">
                    <c:v>2</c:v>
                  </c:pt>
                  <c:pt idx="297">
                    <c:v>3</c:v>
                  </c:pt>
                  <c:pt idx="298">
                    <c:v>3</c:v>
                  </c:pt>
                  <c:pt idx="299">
                    <c:v>2</c:v>
                  </c:pt>
                </c:lvl>
                <c:lvl>
                  <c:pt idx="0">
                    <c:v>0%</c:v>
                  </c:pt>
                  <c:pt idx="1">
                    <c:v>10%</c:v>
                  </c:pt>
                  <c:pt idx="2">
                    <c:v>25%</c:v>
                  </c:pt>
                  <c:pt idx="3">
                    <c:v>0%</c:v>
                  </c:pt>
                  <c:pt idx="4">
                    <c:v>0%</c:v>
                  </c:pt>
                  <c:pt idx="5">
                    <c:v>5%</c:v>
                  </c:pt>
                  <c:pt idx="6">
                    <c:v>20%</c:v>
                  </c:pt>
                  <c:pt idx="7">
                    <c:v>5%</c:v>
                  </c:pt>
                  <c:pt idx="8">
                    <c:v>10%</c:v>
                  </c:pt>
                  <c:pt idx="9">
                    <c:v>25%</c:v>
                  </c:pt>
                  <c:pt idx="10">
                    <c:v>10%</c:v>
                  </c:pt>
                  <c:pt idx="11">
                    <c:v>10%</c:v>
                  </c:pt>
                  <c:pt idx="12">
                    <c:v>0%</c:v>
                  </c:pt>
                  <c:pt idx="13">
                    <c:v>10%</c:v>
                  </c:pt>
                  <c:pt idx="14">
                    <c:v>25%</c:v>
                  </c:pt>
                  <c:pt idx="15">
                    <c:v>15%</c:v>
                  </c:pt>
                  <c:pt idx="16">
                    <c:v>5%</c:v>
                  </c:pt>
                  <c:pt idx="17">
                    <c:v>0%</c:v>
                  </c:pt>
                  <c:pt idx="18">
                    <c:v>5%</c:v>
                  </c:pt>
                  <c:pt idx="19">
                    <c:v>25%</c:v>
                  </c:pt>
                  <c:pt idx="20">
                    <c:v>10%</c:v>
                  </c:pt>
                  <c:pt idx="21">
                    <c:v>5%</c:v>
                  </c:pt>
                  <c:pt idx="22">
                    <c:v>10%</c:v>
                  </c:pt>
                  <c:pt idx="23">
                    <c:v>10%</c:v>
                  </c:pt>
                  <c:pt idx="24">
                    <c:v>15%</c:v>
                  </c:pt>
                  <c:pt idx="25">
                    <c:v>25%</c:v>
                  </c:pt>
                  <c:pt idx="26">
                    <c:v>15%</c:v>
                  </c:pt>
                  <c:pt idx="27">
                    <c:v>20%</c:v>
                  </c:pt>
                  <c:pt idx="28">
                    <c:v>20%</c:v>
                  </c:pt>
                  <c:pt idx="29">
                    <c:v>25%</c:v>
                  </c:pt>
                  <c:pt idx="30">
                    <c:v>25%</c:v>
                  </c:pt>
                  <c:pt idx="31">
                    <c:v>0%</c:v>
                  </c:pt>
                  <c:pt idx="32">
                    <c:v>15%</c:v>
                  </c:pt>
                  <c:pt idx="33">
                    <c:v>20%</c:v>
                  </c:pt>
                  <c:pt idx="34">
                    <c:v>15%</c:v>
                  </c:pt>
                  <c:pt idx="35">
                    <c:v>10%</c:v>
                  </c:pt>
                  <c:pt idx="36">
                    <c:v>15%</c:v>
                  </c:pt>
                  <c:pt idx="37">
                    <c:v>15%</c:v>
                  </c:pt>
                  <c:pt idx="38">
                    <c:v>25%</c:v>
                  </c:pt>
                  <c:pt idx="39">
                    <c:v>10%</c:v>
                  </c:pt>
                  <c:pt idx="40">
                    <c:v>5%</c:v>
                  </c:pt>
                  <c:pt idx="41">
                    <c:v>0%</c:v>
                  </c:pt>
                  <c:pt idx="42">
                    <c:v>0%</c:v>
                  </c:pt>
                  <c:pt idx="43">
                    <c:v>25%</c:v>
                  </c:pt>
                  <c:pt idx="44">
                    <c:v>15%</c:v>
                  </c:pt>
                  <c:pt idx="45">
                    <c:v>20%</c:v>
                  </c:pt>
                  <c:pt idx="46">
                    <c:v>10%</c:v>
                  </c:pt>
                  <c:pt idx="47">
                    <c:v>25%</c:v>
                  </c:pt>
                  <c:pt idx="48">
                    <c:v>10%</c:v>
                  </c:pt>
                  <c:pt idx="49">
                    <c:v>15%</c:v>
                  </c:pt>
                  <c:pt idx="50">
                    <c:v>10%</c:v>
                  </c:pt>
                  <c:pt idx="51">
                    <c:v>15%</c:v>
                  </c:pt>
                  <c:pt idx="52">
                    <c:v>25%</c:v>
                  </c:pt>
                  <c:pt idx="53">
                    <c:v>15%</c:v>
                  </c:pt>
                  <c:pt idx="54">
                    <c:v>10%</c:v>
                  </c:pt>
                  <c:pt idx="55">
                    <c:v>25%</c:v>
                  </c:pt>
                  <c:pt idx="56">
                    <c:v>25%</c:v>
                  </c:pt>
                  <c:pt idx="57">
                    <c:v>0%</c:v>
                  </c:pt>
                  <c:pt idx="58">
                    <c:v>20%</c:v>
                  </c:pt>
                  <c:pt idx="59">
                    <c:v>15%</c:v>
                  </c:pt>
                  <c:pt idx="60">
                    <c:v>20%</c:v>
                  </c:pt>
                  <c:pt idx="61">
                    <c:v>10%</c:v>
                  </c:pt>
                  <c:pt idx="62">
                    <c:v>15%</c:v>
                  </c:pt>
                  <c:pt idx="63">
                    <c:v>20%</c:v>
                  </c:pt>
                  <c:pt idx="64">
                    <c:v>25%</c:v>
                  </c:pt>
                  <c:pt idx="65">
                    <c:v>25%</c:v>
                  </c:pt>
                  <c:pt idx="66">
                    <c:v>10%</c:v>
                  </c:pt>
                  <c:pt idx="67">
                    <c:v>5%</c:v>
                  </c:pt>
                  <c:pt idx="68">
                    <c:v>15%</c:v>
                  </c:pt>
                  <c:pt idx="69">
                    <c:v>10%</c:v>
                  </c:pt>
                  <c:pt idx="70">
                    <c:v>25%</c:v>
                  </c:pt>
                  <c:pt idx="71">
                    <c:v>5%</c:v>
                  </c:pt>
                  <c:pt idx="72">
                    <c:v>5%</c:v>
                  </c:pt>
                  <c:pt idx="73">
                    <c:v>25%</c:v>
                  </c:pt>
                  <c:pt idx="74">
                    <c:v>0%</c:v>
                  </c:pt>
                  <c:pt idx="75">
                    <c:v>15%</c:v>
                  </c:pt>
                  <c:pt idx="76">
                    <c:v>0%</c:v>
                  </c:pt>
                  <c:pt idx="77">
                    <c:v>5%</c:v>
                  </c:pt>
                  <c:pt idx="78">
                    <c:v>5%</c:v>
                  </c:pt>
                  <c:pt idx="79">
                    <c:v>10%</c:v>
                  </c:pt>
                  <c:pt idx="80">
                    <c:v>15%</c:v>
                  </c:pt>
                  <c:pt idx="81">
                    <c:v>15%</c:v>
                  </c:pt>
                  <c:pt idx="82">
                    <c:v>15%</c:v>
                  </c:pt>
                  <c:pt idx="83">
                    <c:v>0%</c:v>
                  </c:pt>
                  <c:pt idx="84">
                    <c:v>10%</c:v>
                  </c:pt>
                  <c:pt idx="85">
                    <c:v>20%</c:v>
                  </c:pt>
                  <c:pt idx="86">
                    <c:v>5%</c:v>
                  </c:pt>
                  <c:pt idx="87">
                    <c:v>10%</c:v>
                  </c:pt>
                  <c:pt idx="88">
                    <c:v>15%</c:v>
                  </c:pt>
                  <c:pt idx="89">
                    <c:v>15%</c:v>
                  </c:pt>
                  <c:pt idx="90">
                    <c:v>20%</c:v>
                  </c:pt>
                  <c:pt idx="91">
                    <c:v>15%</c:v>
                  </c:pt>
                  <c:pt idx="92">
                    <c:v>20%</c:v>
                  </c:pt>
                  <c:pt idx="93">
                    <c:v>10%</c:v>
                  </c:pt>
                  <c:pt idx="94">
                    <c:v>20%</c:v>
                  </c:pt>
                  <c:pt idx="95">
                    <c:v>0%</c:v>
                  </c:pt>
                  <c:pt idx="96">
                    <c:v>25%</c:v>
                  </c:pt>
                  <c:pt idx="97">
                    <c:v>0%</c:v>
                  </c:pt>
                  <c:pt idx="98">
                    <c:v>25%</c:v>
                  </c:pt>
                  <c:pt idx="99">
                    <c:v>10%</c:v>
                  </c:pt>
                  <c:pt idx="100">
                    <c:v>5%</c:v>
                  </c:pt>
                  <c:pt idx="101">
                    <c:v>20%</c:v>
                  </c:pt>
                  <c:pt idx="102">
                    <c:v>25%</c:v>
                  </c:pt>
                  <c:pt idx="103">
                    <c:v>20%</c:v>
                  </c:pt>
                  <c:pt idx="104">
                    <c:v>5%</c:v>
                  </c:pt>
                  <c:pt idx="105">
                    <c:v>10%</c:v>
                  </c:pt>
                  <c:pt idx="106">
                    <c:v>25%</c:v>
                  </c:pt>
                  <c:pt idx="107">
                    <c:v>5%</c:v>
                  </c:pt>
                  <c:pt idx="108">
                    <c:v>0%</c:v>
                  </c:pt>
                  <c:pt idx="109">
                    <c:v>20%</c:v>
                  </c:pt>
                  <c:pt idx="110">
                    <c:v>0%</c:v>
                  </c:pt>
                  <c:pt idx="111">
                    <c:v>0%</c:v>
                  </c:pt>
                  <c:pt idx="112">
                    <c:v>0%</c:v>
                  </c:pt>
                  <c:pt idx="113">
                    <c:v>10%</c:v>
                  </c:pt>
                  <c:pt idx="114">
                    <c:v>15%</c:v>
                  </c:pt>
                  <c:pt idx="115">
                    <c:v>25%</c:v>
                  </c:pt>
                  <c:pt idx="116">
                    <c:v>10%</c:v>
                  </c:pt>
                  <c:pt idx="117">
                    <c:v>15%</c:v>
                  </c:pt>
                  <c:pt idx="118">
                    <c:v>15%</c:v>
                  </c:pt>
                  <c:pt idx="119">
                    <c:v>20%</c:v>
                  </c:pt>
                  <c:pt idx="120">
                    <c:v>25%</c:v>
                  </c:pt>
                  <c:pt idx="121">
                    <c:v>25%</c:v>
                  </c:pt>
                  <c:pt idx="122">
                    <c:v>10%</c:v>
                  </c:pt>
                  <c:pt idx="123">
                    <c:v>25%</c:v>
                  </c:pt>
                  <c:pt idx="124">
                    <c:v>15%</c:v>
                  </c:pt>
                  <c:pt idx="125">
                    <c:v>15%</c:v>
                  </c:pt>
                  <c:pt idx="126">
                    <c:v>15%</c:v>
                  </c:pt>
                  <c:pt idx="127">
                    <c:v>15%</c:v>
                  </c:pt>
                  <c:pt idx="128">
                    <c:v>25%</c:v>
                  </c:pt>
                  <c:pt idx="129">
                    <c:v>20%</c:v>
                  </c:pt>
                  <c:pt idx="130">
                    <c:v>20%</c:v>
                  </c:pt>
                  <c:pt idx="131">
                    <c:v>5%</c:v>
                  </c:pt>
                  <c:pt idx="132">
                    <c:v>10%</c:v>
                  </c:pt>
                  <c:pt idx="133">
                    <c:v>20%</c:v>
                  </c:pt>
                  <c:pt idx="134">
                    <c:v>15%</c:v>
                  </c:pt>
                  <c:pt idx="135">
                    <c:v>20%</c:v>
                  </c:pt>
                  <c:pt idx="136">
                    <c:v>20%</c:v>
                  </c:pt>
                  <c:pt idx="137">
                    <c:v>10%</c:v>
                  </c:pt>
                  <c:pt idx="138">
                    <c:v>5%</c:v>
                  </c:pt>
                  <c:pt idx="139">
                    <c:v>15%</c:v>
                  </c:pt>
                  <c:pt idx="140">
                    <c:v>0%</c:v>
                  </c:pt>
                  <c:pt idx="141">
                    <c:v>0%</c:v>
                  </c:pt>
                  <c:pt idx="142">
                    <c:v>25%</c:v>
                  </c:pt>
                  <c:pt idx="143">
                    <c:v>20%</c:v>
                  </c:pt>
                  <c:pt idx="144">
                    <c:v>25%</c:v>
                  </c:pt>
                  <c:pt idx="145">
                    <c:v>25%</c:v>
                  </c:pt>
                  <c:pt idx="146">
                    <c:v>20%</c:v>
                  </c:pt>
                  <c:pt idx="147">
                    <c:v>5%</c:v>
                  </c:pt>
                  <c:pt idx="148">
                    <c:v>15%</c:v>
                  </c:pt>
                  <c:pt idx="149">
                    <c:v>0%</c:v>
                  </c:pt>
                  <c:pt idx="150">
                    <c:v>0%</c:v>
                  </c:pt>
                  <c:pt idx="151">
                    <c:v>15%</c:v>
                  </c:pt>
                  <c:pt idx="152">
                    <c:v>15%</c:v>
                  </c:pt>
                  <c:pt idx="153">
                    <c:v>25%</c:v>
                  </c:pt>
                  <c:pt idx="154">
                    <c:v>5%</c:v>
                  </c:pt>
                  <c:pt idx="155">
                    <c:v>5%</c:v>
                  </c:pt>
                  <c:pt idx="156">
                    <c:v>10%</c:v>
                  </c:pt>
                  <c:pt idx="157">
                    <c:v>5%</c:v>
                  </c:pt>
                  <c:pt idx="158">
                    <c:v>25%</c:v>
                  </c:pt>
                  <c:pt idx="159">
                    <c:v>0%</c:v>
                  </c:pt>
                  <c:pt idx="160">
                    <c:v>5%</c:v>
                  </c:pt>
                  <c:pt idx="161">
                    <c:v>25%</c:v>
                  </c:pt>
                  <c:pt idx="162">
                    <c:v>25%</c:v>
                  </c:pt>
                  <c:pt idx="163">
                    <c:v>20%</c:v>
                  </c:pt>
                  <c:pt idx="164">
                    <c:v>20%</c:v>
                  </c:pt>
                  <c:pt idx="165">
                    <c:v>0%</c:v>
                  </c:pt>
                  <c:pt idx="166">
                    <c:v>25%</c:v>
                  </c:pt>
                  <c:pt idx="167">
                    <c:v>5%</c:v>
                  </c:pt>
                  <c:pt idx="168">
                    <c:v>0%</c:v>
                  </c:pt>
                  <c:pt idx="169">
                    <c:v>15%</c:v>
                  </c:pt>
                  <c:pt idx="170">
                    <c:v>25%</c:v>
                  </c:pt>
                  <c:pt idx="171">
                    <c:v>15%</c:v>
                  </c:pt>
                  <c:pt idx="172">
                    <c:v>20%</c:v>
                  </c:pt>
                  <c:pt idx="173">
                    <c:v>15%</c:v>
                  </c:pt>
                  <c:pt idx="174">
                    <c:v>25%</c:v>
                  </c:pt>
                  <c:pt idx="175">
                    <c:v>10%</c:v>
                  </c:pt>
                  <c:pt idx="176">
                    <c:v>15%</c:v>
                  </c:pt>
                  <c:pt idx="177">
                    <c:v>20%</c:v>
                  </c:pt>
                  <c:pt idx="178">
                    <c:v>25%</c:v>
                  </c:pt>
                  <c:pt idx="179">
                    <c:v>10%</c:v>
                  </c:pt>
                  <c:pt idx="180">
                    <c:v>20%</c:v>
                  </c:pt>
                  <c:pt idx="181">
                    <c:v>25%</c:v>
                  </c:pt>
                  <c:pt idx="182">
                    <c:v>15%</c:v>
                  </c:pt>
                  <c:pt idx="183">
                    <c:v>5%</c:v>
                  </c:pt>
                  <c:pt idx="184">
                    <c:v>25%</c:v>
                  </c:pt>
                  <c:pt idx="185">
                    <c:v>20%</c:v>
                  </c:pt>
                  <c:pt idx="186">
                    <c:v>10%</c:v>
                  </c:pt>
                  <c:pt idx="187">
                    <c:v>0%</c:v>
                  </c:pt>
                  <c:pt idx="188">
                    <c:v>20%</c:v>
                  </c:pt>
                  <c:pt idx="189">
                    <c:v>10%</c:v>
                  </c:pt>
                  <c:pt idx="190">
                    <c:v>0%</c:v>
                  </c:pt>
                  <c:pt idx="191">
                    <c:v>0%</c:v>
                  </c:pt>
                  <c:pt idx="192">
                    <c:v>0%</c:v>
                  </c:pt>
                  <c:pt idx="193">
                    <c:v>0%</c:v>
                  </c:pt>
                  <c:pt idx="194">
                    <c:v>0%</c:v>
                  </c:pt>
                  <c:pt idx="195">
                    <c:v>5%</c:v>
                  </c:pt>
                  <c:pt idx="196">
                    <c:v>15%</c:v>
                  </c:pt>
                  <c:pt idx="197">
                    <c:v>5%</c:v>
                  </c:pt>
                  <c:pt idx="198">
                    <c:v>5%</c:v>
                  </c:pt>
                  <c:pt idx="199">
                    <c:v>10%</c:v>
                  </c:pt>
                  <c:pt idx="200">
                    <c:v>5%</c:v>
                  </c:pt>
                  <c:pt idx="201">
                    <c:v>15%</c:v>
                  </c:pt>
                  <c:pt idx="202">
                    <c:v>15%</c:v>
                  </c:pt>
                  <c:pt idx="203">
                    <c:v>20%</c:v>
                  </c:pt>
                  <c:pt idx="204">
                    <c:v>15%</c:v>
                  </c:pt>
                  <c:pt idx="205">
                    <c:v>10%</c:v>
                  </c:pt>
                  <c:pt idx="206">
                    <c:v>25%</c:v>
                  </c:pt>
                  <c:pt idx="207">
                    <c:v>5%</c:v>
                  </c:pt>
                  <c:pt idx="208">
                    <c:v>10%</c:v>
                  </c:pt>
                  <c:pt idx="209">
                    <c:v>10%</c:v>
                  </c:pt>
                  <c:pt idx="210">
                    <c:v>5%</c:v>
                  </c:pt>
                  <c:pt idx="211">
                    <c:v>0%</c:v>
                  </c:pt>
                  <c:pt idx="212">
                    <c:v>20%</c:v>
                  </c:pt>
                  <c:pt idx="213">
                    <c:v>15%</c:v>
                  </c:pt>
                  <c:pt idx="214">
                    <c:v>5%</c:v>
                  </c:pt>
                  <c:pt idx="215">
                    <c:v>5%</c:v>
                  </c:pt>
                  <c:pt idx="216">
                    <c:v>5%</c:v>
                  </c:pt>
                  <c:pt idx="217">
                    <c:v>0%</c:v>
                  </c:pt>
                  <c:pt idx="218">
                    <c:v>0%</c:v>
                  </c:pt>
                  <c:pt idx="219">
                    <c:v>15%</c:v>
                  </c:pt>
                  <c:pt idx="220">
                    <c:v>10%</c:v>
                  </c:pt>
                  <c:pt idx="221">
                    <c:v>20%</c:v>
                  </c:pt>
                  <c:pt idx="222">
                    <c:v>5%</c:v>
                  </c:pt>
                  <c:pt idx="223">
                    <c:v>20%</c:v>
                  </c:pt>
                  <c:pt idx="224">
                    <c:v>10%</c:v>
                  </c:pt>
                  <c:pt idx="225">
                    <c:v>10%</c:v>
                  </c:pt>
                  <c:pt idx="226">
                    <c:v>5%</c:v>
                  </c:pt>
                  <c:pt idx="227">
                    <c:v>20%</c:v>
                  </c:pt>
                  <c:pt idx="228">
                    <c:v>5%</c:v>
                  </c:pt>
                  <c:pt idx="229">
                    <c:v>15%</c:v>
                  </c:pt>
                  <c:pt idx="230">
                    <c:v>5%</c:v>
                  </c:pt>
                  <c:pt idx="231">
                    <c:v>5%</c:v>
                  </c:pt>
                  <c:pt idx="232">
                    <c:v>15%</c:v>
                  </c:pt>
                  <c:pt idx="233">
                    <c:v>0%</c:v>
                  </c:pt>
                  <c:pt idx="234">
                    <c:v>15%</c:v>
                  </c:pt>
                  <c:pt idx="235">
                    <c:v>5%</c:v>
                  </c:pt>
                  <c:pt idx="236">
                    <c:v>20%</c:v>
                  </c:pt>
                  <c:pt idx="237">
                    <c:v>15%</c:v>
                  </c:pt>
                  <c:pt idx="238">
                    <c:v>20%</c:v>
                  </c:pt>
                  <c:pt idx="239">
                    <c:v>10%</c:v>
                  </c:pt>
                  <c:pt idx="240">
                    <c:v>10%</c:v>
                  </c:pt>
                  <c:pt idx="241">
                    <c:v>5%</c:v>
                  </c:pt>
                  <c:pt idx="242">
                    <c:v>20%</c:v>
                  </c:pt>
                  <c:pt idx="243">
                    <c:v>15%</c:v>
                  </c:pt>
                  <c:pt idx="244">
                    <c:v>20%</c:v>
                  </c:pt>
                  <c:pt idx="245">
                    <c:v>25%</c:v>
                  </c:pt>
                  <c:pt idx="246">
                    <c:v>10%</c:v>
                  </c:pt>
                  <c:pt idx="247">
                    <c:v>20%</c:v>
                  </c:pt>
                  <c:pt idx="248">
                    <c:v>5%</c:v>
                  </c:pt>
                  <c:pt idx="249">
                    <c:v>15%</c:v>
                  </c:pt>
                  <c:pt idx="250">
                    <c:v>20%</c:v>
                  </c:pt>
                  <c:pt idx="251">
                    <c:v>5%</c:v>
                  </c:pt>
                  <c:pt idx="252">
                    <c:v>25%</c:v>
                  </c:pt>
                  <c:pt idx="253">
                    <c:v>0%</c:v>
                  </c:pt>
                  <c:pt idx="254">
                    <c:v>15%</c:v>
                  </c:pt>
                  <c:pt idx="255">
                    <c:v>25%</c:v>
                  </c:pt>
                  <c:pt idx="256">
                    <c:v>10%</c:v>
                  </c:pt>
                  <c:pt idx="257">
                    <c:v>5%</c:v>
                  </c:pt>
                  <c:pt idx="258">
                    <c:v>0%</c:v>
                  </c:pt>
                  <c:pt idx="259">
                    <c:v>25%</c:v>
                  </c:pt>
                  <c:pt idx="260">
                    <c:v>20%</c:v>
                  </c:pt>
                  <c:pt idx="261">
                    <c:v>0%</c:v>
                  </c:pt>
                  <c:pt idx="262">
                    <c:v>0%</c:v>
                  </c:pt>
                  <c:pt idx="263">
                    <c:v>15%</c:v>
                  </c:pt>
                  <c:pt idx="264">
                    <c:v>0%</c:v>
                  </c:pt>
                  <c:pt idx="265">
                    <c:v>20%</c:v>
                  </c:pt>
                  <c:pt idx="266">
                    <c:v>20%</c:v>
                  </c:pt>
                  <c:pt idx="267">
                    <c:v>5%</c:v>
                  </c:pt>
                  <c:pt idx="268">
                    <c:v>20%</c:v>
                  </c:pt>
                  <c:pt idx="269">
                    <c:v>25%</c:v>
                  </c:pt>
                  <c:pt idx="270">
                    <c:v>0%</c:v>
                  </c:pt>
                  <c:pt idx="271">
                    <c:v>10%</c:v>
                  </c:pt>
                  <c:pt idx="272">
                    <c:v>15%</c:v>
                  </c:pt>
                  <c:pt idx="273">
                    <c:v>20%</c:v>
                  </c:pt>
                  <c:pt idx="274">
                    <c:v>20%</c:v>
                  </c:pt>
                  <c:pt idx="275">
                    <c:v>20%</c:v>
                  </c:pt>
                  <c:pt idx="276">
                    <c:v>25%</c:v>
                  </c:pt>
                  <c:pt idx="277">
                    <c:v>0%</c:v>
                  </c:pt>
                  <c:pt idx="278">
                    <c:v>20%</c:v>
                  </c:pt>
                  <c:pt idx="279">
                    <c:v>25%</c:v>
                  </c:pt>
                  <c:pt idx="280">
                    <c:v>25%</c:v>
                  </c:pt>
                  <c:pt idx="281">
                    <c:v>5%</c:v>
                  </c:pt>
                  <c:pt idx="282">
                    <c:v>10%</c:v>
                  </c:pt>
                  <c:pt idx="283">
                    <c:v>5%</c:v>
                  </c:pt>
                  <c:pt idx="284">
                    <c:v>20%</c:v>
                  </c:pt>
                  <c:pt idx="285">
                    <c:v>20%</c:v>
                  </c:pt>
                  <c:pt idx="286">
                    <c:v>5%</c:v>
                  </c:pt>
                  <c:pt idx="287">
                    <c:v>0%</c:v>
                  </c:pt>
                  <c:pt idx="288">
                    <c:v>25%</c:v>
                  </c:pt>
                  <c:pt idx="289">
                    <c:v>15%</c:v>
                  </c:pt>
                  <c:pt idx="290">
                    <c:v>20%</c:v>
                  </c:pt>
                  <c:pt idx="291">
                    <c:v>5%</c:v>
                  </c:pt>
                  <c:pt idx="292">
                    <c:v>5%</c:v>
                  </c:pt>
                  <c:pt idx="293">
                    <c:v>20%</c:v>
                  </c:pt>
                  <c:pt idx="294">
                    <c:v>15%</c:v>
                  </c:pt>
                  <c:pt idx="295">
                    <c:v>25%</c:v>
                  </c:pt>
                  <c:pt idx="296">
                    <c:v>10%</c:v>
                  </c:pt>
                  <c:pt idx="297">
                    <c:v>20%</c:v>
                  </c:pt>
                  <c:pt idx="298">
                    <c:v>20%</c:v>
                  </c:pt>
                  <c:pt idx="299">
                    <c:v>20%</c:v>
                  </c:pt>
                </c:lvl>
                <c:lvl>
                  <c:pt idx="0">
                    <c:v>₹4,243</c:v>
                  </c:pt>
                  <c:pt idx="1">
                    <c:v>₹2,293</c:v>
                  </c:pt>
                  <c:pt idx="2">
                    <c:v>₹594</c:v>
                  </c:pt>
                  <c:pt idx="3">
                    <c:v>₹809</c:v>
                  </c:pt>
                  <c:pt idx="4">
                    <c:v>₹741</c:v>
                  </c:pt>
                  <c:pt idx="5">
                    <c:v>₹393</c:v>
                  </c:pt>
                  <c:pt idx="6">
                    <c:v>₹3,868</c:v>
                  </c:pt>
                  <c:pt idx="7">
                    <c:v>₹7,378</c:v>
                  </c:pt>
                  <c:pt idx="8">
                    <c:v>₹4,223</c:v>
                  </c:pt>
                  <c:pt idx="9">
                    <c:v>₹250</c:v>
                  </c:pt>
                  <c:pt idx="10">
                    <c:v>₹7,614</c:v>
                  </c:pt>
                  <c:pt idx="11">
                    <c:v>₹1,036</c:v>
                  </c:pt>
                  <c:pt idx="12">
                    <c:v>₹647</c:v>
                  </c:pt>
                  <c:pt idx="13">
                    <c:v>₹4,766</c:v>
                  </c:pt>
                  <c:pt idx="14">
                    <c:v>₹2,862</c:v>
                  </c:pt>
                  <c:pt idx="15">
                    <c:v>₹1,573</c:v>
                  </c:pt>
                  <c:pt idx="16">
                    <c:v>₹4,307</c:v>
                  </c:pt>
                  <c:pt idx="17">
                    <c:v>₹340</c:v>
                  </c:pt>
                  <c:pt idx="18">
                    <c:v>₹1,604</c:v>
                  </c:pt>
                  <c:pt idx="19">
                    <c:v>₹954</c:v>
                  </c:pt>
                  <c:pt idx="20">
                    <c:v>₹4,650</c:v>
                  </c:pt>
                  <c:pt idx="21">
                    <c:v>₹1,858</c:v>
                  </c:pt>
                  <c:pt idx="22">
                    <c:v>₹3,653</c:v>
                  </c:pt>
                  <c:pt idx="23">
                    <c:v>₹2,317</c:v>
                  </c:pt>
                  <c:pt idx="24">
                    <c:v>₹1,100</c:v>
                  </c:pt>
                  <c:pt idx="25">
                    <c:v>₹1,256</c:v>
                  </c:pt>
                  <c:pt idx="26">
                    <c:v>₹987</c:v>
                  </c:pt>
                  <c:pt idx="27">
                    <c:v>₹7,819</c:v>
                  </c:pt>
                  <c:pt idx="28">
                    <c:v>₹1,786</c:v>
                  </c:pt>
                  <c:pt idx="29">
                    <c:v>₹2,532</c:v>
                  </c:pt>
                  <c:pt idx="30">
                    <c:v>₹483</c:v>
                  </c:pt>
                  <c:pt idx="31">
                    <c:v>₹1,736</c:v>
                  </c:pt>
                  <c:pt idx="32">
                    <c:v>₹3,233</c:v>
                  </c:pt>
                  <c:pt idx="33">
                    <c:v>₹2,270</c:v>
                  </c:pt>
                  <c:pt idx="34">
                    <c:v>₹1,066</c:v>
                  </c:pt>
                  <c:pt idx="35">
                    <c:v>₹968</c:v>
                  </c:pt>
                  <c:pt idx="36">
                    <c:v>₹2,449</c:v>
                  </c:pt>
                  <c:pt idx="37">
                    <c:v>₹1,832</c:v>
                  </c:pt>
                  <c:pt idx="38">
                    <c:v>₹2,069</c:v>
                  </c:pt>
                  <c:pt idx="39">
                    <c:v>₹1,713</c:v>
                  </c:pt>
                  <c:pt idx="40">
                    <c:v>₹6,052</c:v>
                  </c:pt>
                  <c:pt idx="41">
                    <c:v>₹486</c:v>
                  </c:pt>
                  <c:pt idx="42">
                    <c:v>₹1,029</c:v>
                  </c:pt>
                  <c:pt idx="43">
                    <c:v>₹466</c:v>
                  </c:pt>
                  <c:pt idx="44">
                    <c:v>₹972</c:v>
                  </c:pt>
                  <c:pt idx="45">
                    <c:v>₹769</c:v>
                  </c:pt>
                  <c:pt idx="46">
                    <c:v>₹4,880</c:v>
                  </c:pt>
                  <c:pt idx="47">
                    <c:v>₹1,428</c:v>
                  </c:pt>
                  <c:pt idx="48">
                    <c:v>₹805</c:v>
                  </c:pt>
                  <c:pt idx="49">
                    <c:v>₹6,466</c:v>
                  </c:pt>
                  <c:pt idx="50">
                    <c:v>₹2,034</c:v>
                  </c:pt>
                  <c:pt idx="51">
                    <c:v>₹1,421</c:v>
                  </c:pt>
                  <c:pt idx="52">
                    <c:v>₹2,311</c:v>
                  </c:pt>
                  <c:pt idx="53">
                    <c:v>₹1,911</c:v>
                  </c:pt>
                  <c:pt idx="54">
                    <c:v>₹1,900</c:v>
                  </c:pt>
                  <c:pt idx="55">
                    <c:v>₹537</c:v>
                  </c:pt>
                  <c:pt idx="56">
                    <c:v>₹1,976</c:v>
                  </c:pt>
                  <c:pt idx="57">
                    <c:v>₹1,157</c:v>
                  </c:pt>
                  <c:pt idx="58">
                    <c:v>₹2,650</c:v>
                  </c:pt>
                  <c:pt idx="59">
                    <c:v>₹995</c:v>
                  </c:pt>
                  <c:pt idx="60">
                    <c:v>₹1,159</c:v>
                  </c:pt>
                  <c:pt idx="61">
                    <c:v>₹1,344</c:v>
                  </c:pt>
                  <c:pt idx="62">
                    <c:v>₹3,480</c:v>
                  </c:pt>
                  <c:pt idx="63">
                    <c:v>₹3,977</c:v>
                  </c:pt>
                  <c:pt idx="64">
                    <c:v>₹1,626</c:v>
                  </c:pt>
                  <c:pt idx="65">
                    <c:v>₹2,182</c:v>
                  </c:pt>
                  <c:pt idx="66">
                    <c:v>₹846</c:v>
                  </c:pt>
                  <c:pt idx="67">
                    <c:v>₹2,073</c:v>
                  </c:pt>
                  <c:pt idx="68">
                    <c:v>₹6,301</c:v>
                  </c:pt>
                  <c:pt idx="69">
                    <c:v>₹877</c:v>
                  </c:pt>
                  <c:pt idx="70">
                    <c:v>₹518</c:v>
                  </c:pt>
                  <c:pt idx="71">
                    <c:v>₹537</c:v>
                  </c:pt>
                  <c:pt idx="72">
                    <c:v>₹764</c:v>
                  </c:pt>
                  <c:pt idx="73">
                    <c:v>₹927</c:v>
                  </c:pt>
                  <c:pt idx="74">
                    <c:v>₹2,246</c:v>
                  </c:pt>
                  <c:pt idx="75">
                    <c:v>₹1,159</c:v>
                  </c:pt>
                  <c:pt idx="76">
                    <c:v>₹1,161</c:v>
                  </c:pt>
                  <c:pt idx="77">
                    <c:v>₹4,945</c:v>
                  </c:pt>
                  <c:pt idx="78">
                    <c:v>₹2,328</c:v>
                  </c:pt>
                  <c:pt idx="79">
                    <c:v>₹7,395</c:v>
                  </c:pt>
                  <c:pt idx="80">
                    <c:v>₹3,871</c:v>
                  </c:pt>
                  <c:pt idx="81">
                    <c:v>₹1,655</c:v>
                  </c:pt>
                  <c:pt idx="82">
                    <c:v>₹2,509</c:v>
                  </c:pt>
                  <c:pt idx="83">
                    <c:v>₹2,529</c:v>
                  </c:pt>
                  <c:pt idx="84">
                    <c:v>₹1,277</c:v>
                  </c:pt>
                  <c:pt idx="85">
                    <c:v>₹1,255</c:v>
                  </c:pt>
                  <c:pt idx="86">
                    <c:v>₹2,537</c:v>
                  </c:pt>
                  <c:pt idx="87">
                    <c:v>₹2,071</c:v>
                  </c:pt>
                  <c:pt idx="88">
                    <c:v>₹2,685</c:v>
                  </c:pt>
                  <c:pt idx="89">
                    <c:v>₹556</c:v>
                  </c:pt>
                  <c:pt idx="90">
                    <c:v>₹1,233</c:v>
                  </c:pt>
                  <c:pt idx="91">
                    <c:v>₹2,039</c:v>
                  </c:pt>
                  <c:pt idx="92">
                    <c:v>₹2,667</c:v>
                  </c:pt>
                  <c:pt idx="93">
                    <c:v>₹2,998</c:v>
                  </c:pt>
                  <c:pt idx="94">
                    <c:v>₹250</c:v>
                  </c:pt>
                  <c:pt idx="95">
                    <c:v>₹5,991</c:v>
                  </c:pt>
                  <c:pt idx="96">
                    <c:v>₹250</c:v>
                  </c:pt>
                  <c:pt idx="97">
                    <c:v>₹1,197</c:v>
                  </c:pt>
                  <c:pt idx="98">
                    <c:v>₹1,644</c:v>
                  </c:pt>
                  <c:pt idx="99">
                    <c:v>₹2,815</c:v>
                  </c:pt>
                  <c:pt idx="100">
                    <c:v>₹3,624</c:v>
                  </c:pt>
                  <c:pt idx="101">
                    <c:v>₹1,458</c:v>
                  </c:pt>
                  <c:pt idx="102">
                    <c:v>₹4,218</c:v>
                  </c:pt>
                  <c:pt idx="103">
                    <c:v>₹808</c:v>
                  </c:pt>
                  <c:pt idx="104">
                    <c:v>₹5,415</c:v>
                  </c:pt>
                  <c:pt idx="105">
                    <c:v>₹2,551</c:v>
                  </c:pt>
                  <c:pt idx="106">
                    <c:v>₹3,745</c:v>
                  </c:pt>
                  <c:pt idx="107">
                    <c:v>₹1,981</c:v>
                  </c:pt>
                  <c:pt idx="108">
                    <c:v>₹1,302</c:v>
                  </c:pt>
                  <c:pt idx="109">
                    <c:v>₹911</c:v>
                  </c:pt>
                  <c:pt idx="110">
                    <c:v>₹3,991</c:v>
                  </c:pt>
                  <c:pt idx="111">
                    <c:v>₹1,961</c:v>
                  </c:pt>
                  <c:pt idx="112">
                    <c:v>₹3,080</c:v>
                  </c:pt>
                  <c:pt idx="113">
                    <c:v>₹4,927</c:v>
                  </c:pt>
                  <c:pt idx="114">
                    <c:v>₹1,725</c:v>
                  </c:pt>
                  <c:pt idx="115">
                    <c:v>₹3,725</c:v>
                  </c:pt>
                  <c:pt idx="116">
                    <c:v>₹1,572</c:v>
                  </c:pt>
                  <c:pt idx="117">
                    <c:v>₹250</c:v>
                  </c:pt>
                  <c:pt idx="118">
                    <c:v>₹250</c:v>
                  </c:pt>
                  <c:pt idx="119">
                    <c:v>₹2,371</c:v>
                  </c:pt>
                  <c:pt idx="120">
                    <c:v>₹2,630</c:v>
                  </c:pt>
                  <c:pt idx="121">
                    <c:v>₹2,164</c:v>
                  </c:pt>
                  <c:pt idx="122">
                    <c:v>₹585</c:v>
                  </c:pt>
                  <c:pt idx="123">
                    <c:v>₹2,575</c:v>
                  </c:pt>
                  <c:pt idx="124">
                    <c:v>₹687</c:v>
                  </c:pt>
                  <c:pt idx="125">
                    <c:v>₹3,457</c:v>
                  </c:pt>
                  <c:pt idx="126">
                    <c:v>₹1,415</c:v>
                  </c:pt>
                  <c:pt idx="127">
                    <c:v>₹1,078</c:v>
                  </c:pt>
                  <c:pt idx="128">
                    <c:v>₹807</c:v>
                  </c:pt>
                  <c:pt idx="129">
                    <c:v>₹4,187</c:v>
                  </c:pt>
                  <c:pt idx="130">
                    <c:v>₹250</c:v>
                  </c:pt>
                  <c:pt idx="131">
                    <c:v>₹5,124</c:v>
                  </c:pt>
                  <c:pt idx="132">
                    <c:v>₹1,920</c:v>
                  </c:pt>
                  <c:pt idx="133">
                    <c:v>₹1,512</c:v>
                  </c:pt>
                  <c:pt idx="134">
                    <c:v>₹1,635</c:v>
                  </c:pt>
                  <c:pt idx="135">
                    <c:v>₹2,704</c:v>
                  </c:pt>
                  <c:pt idx="136">
                    <c:v>₹993</c:v>
                  </c:pt>
                  <c:pt idx="137">
                    <c:v>₹1,822</c:v>
                  </c:pt>
                  <c:pt idx="138">
                    <c:v>₹1,890</c:v>
                  </c:pt>
                  <c:pt idx="139">
                    <c:v>₹560</c:v>
                  </c:pt>
                  <c:pt idx="140">
                    <c:v>₹1,239</c:v>
                  </c:pt>
                  <c:pt idx="141">
                    <c:v>₹4,159</c:v>
                  </c:pt>
                  <c:pt idx="142">
                    <c:v>₹2,988</c:v>
                  </c:pt>
                  <c:pt idx="143">
                    <c:v>₹1,597</c:v>
                  </c:pt>
                  <c:pt idx="144">
                    <c:v>₹3,575</c:v>
                  </c:pt>
                  <c:pt idx="145">
                    <c:v>₹815</c:v>
                  </c:pt>
                  <c:pt idx="146">
                    <c:v>₹1,467</c:v>
                  </c:pt>
                  <c:pt idx="147">
                    <c:v>₹496</c:v>
                  </c:pt>
                  <c:pt idx="148">
                    <c:v>₹1,500</c:v>
                  </c:pt>
                  <c:pt idx="149">
                    <c:v>₹4,431</c:v>
                  </c:pt>
                  <c:pt idx="150">
                    <c:v>₹7,526</c:v>
                  </c:pt>
                  <c:pt idx="151">
                    <c:v>₹2,282</c:v>
                  </c:pt>
                  <c:pt idx="152">
                    <c:v>₹7,260</c:v>
                  </c:pt>
                  <c:pt idx="153">
                    <c:v>₹1,730</c:v>
                  </c:pt>
                  <c:pt idx="154">
                    <c:v>₹1,582</c:v>
                  </c:pt>
                  <c:pt idx="155">
                    <c:v>₹1,211</c:v>
                  </c:pt>
                  <c:pt idx="156">
                    <c:v>₹1,048</c:v>
                  </c:pt>
                  <c:pt idx="157">
                    <c:v>₹5,437</c:v>
                  </c:pt>
                  <c:pt idx="158">
                    <c:v>₹7,512</c:v>
                  </c:pt>
                  <c:pt idx="159">
                    <c:v>₹926</c:v>
                  </c:pt>
                  <c:pt idx="160">
                    <c:v>₹580</c:v>
                  </c:pt>
                  <c:pt idx="161">
                    <c:v>₹2,004</c:v>
                  </c:pt>
                  <c:pt idx="162">
                    <c:v>₹4,431</c:v>
                  </c:pt>
                  <c:pt idx="163">
                    <c:v>₹1,367</c:v>
                  </c:pt>
                  <c:pt idx="164">
                    <c:v>₹5,168</c:v>
                  </c:pt>
                  <c:pt idx="165">
                    <c:v>₹5,513</c:v>
                  </c:pt>
                  <c:pt idx="166">
                    <c:v>₹4,882</c:v>
                  </c:pt>
                  <c:pt idx="167">
                    <c:v>₹9,536</c:v>
                  </c:pt>
                  <c:pt idx="168">
                    <c:v>₹250</c:v>
                  </c:pt>
                  <c:pt idx="169">
                    <c:v>₹895</c:v>
                  </c:pt>
                  <c:pt idx="170">
                    <c:v>₹6,432</c:v>
                  </c:pt>
                  <c:pt idx="171">
                    <c:v>₹7,450</c:v>
                  </c:pt>
                  <c:pt idx="172">
                    <c:v>₹1,002</c:v>
                  </c:pt>
                  <c:pt idx="173">
                    <c:v>₹347</c:v>
                  </c:pt>
                  <c:pt idx="174">
                    <c:v>₹807</c:v>
                  </c:pt>
                  <c:pt idx="175">
                    <c:v>₹2,150</c:v>
                  </c:pt>
                  <c:pt idx="176">
                    <c:v>₹1,966</c:v>
                  </c:pt>
                  <c:pt idx="177">
                    <c:v>₹1,201</c:v>
                  </c:pt>
                  <c:pt idx="178">
                    <c:v>₹435</c:v>
                  </c:pt>
                  <c:pt idx="179">
                    <c:v>₹1,065</c:v>
                  </c:pt>
                  <c:pt idx="180">
                    <c:v>₹929</c:v>
                  </c:pt>
                  <c:pt idx="181">
                    <c:v>₹7,851</c:v>
                  </c:pt>
                  <c:pt idx="182">
                    <c:v>₹2,403</c:v>
                  </c:pt>
                  <c:pt idx="183">
                    <c:v>₹250</c:v>
                  </c:pt>
                  <c:pt idx="184">
                    <c:v>₹425</c:v>
                  </c:pt>
                  <c:pt idx="185">
                    <c:v>₹1,120</c:v>
                  </c:pt>
                  <c:pt idx="186">
                    <c:v>₹2,483</c:v>
                  </c:pt>
                  <c:pt idx="187">
                    <c:v>₹1,202</c:v>
                  </c:pt>
                  <c:pt idx="188">
                    <c:v>₹3,047</c:v>
                  </c:pt>
                  <c:pt idx="189">
                    <c:v>₹5,003</c:v>
                  </c:pt>
                  <c:pt idx="190">
                    <c:v>₹3,077</c:v>
                  </c:pt>
                  <c:pt idx="191">
                    <c:v>₹250</c:v>
                  </c:pt>
                  <c:pt idx="192">
                    <c:v>₹1,193</c:v>
                  </c:pt>
                  <c:pt idx="193">
                    <c:v>₹1,762</c:v>
                  </c:pt>
                  <c:pt idx="194">
                    <c:v>₹4,200</c:v>
                  </c:pt>
                  <c:pt idx="195">
                    <c:v>₹858</c:v>
                  </c:pt>
                  <c:pt idx="196">
                    <c:v>₹1,787</c:v>
                  </c:pt>
                  <c:pt idx="197">
                    <c:v>₹1,759</c:v>
                  </c:pt>
                  <c:pt idx="198">
                    <c:v>₹660</c:v>
                  </c:pt>
                  <c:pt idx="199">
                    <c:v>₹2,870</c:v>
                  </c:pt>
                  <c:pt idx="200">
                    <c:v>₹5,143</c:v>
                  </c:pt>
                  <c:pt idx="201">
                    <c:v>₹1,359</c:v>
                  </c:pt>
                  <c:pt idx="202">
                    <c:v>₹1,654</c:v>
                  </c:pt>
                  <c:pt idx="203">
                    <c:v>₹1,351</c:v>
                  </c:pt>
                  <c:pt idx="204">
                    <c:v>₹3,076</c:v>
                  </c:pt>
                  <c:pt idx="205">
                    <c:v>₹4,577</c:v>
                  </c:pt>
                  <c:pt idx="206">
                    <c:v>₹882</c:v>
                  </c:pt>
                  <c:pt idx="207">
                    <c:v>₹1,615</c:v>
                  </c:pt>
                  <c:pt idx="208">
                    <c:v>₹2,629</c:v>
                  </c:pt>
                  <c:pt idx="209">
                    <c:v>₹9,762</c:v>
                  </c:pt>
                  <c:pt idx="210">
                    <c:v>₹1,317</c:v>
                  </c:pt>
                  <c:pt idx="211">
                    <c:v>₹1,099</c:v>
                  </c:pt>
                  <c:pt idx="212">
                    <c:v>₹437</c:v>
                  </c:pt>
                  <c:pt idx="213">
                    <c:v>₹1,049</c:v>
                  </c:pt>
                  <c:pt idx="214">
                    <c:v>₹1,362</c:v>
                  </c:pt>
                  <c:pt idx="215">
                    <c:v>₹2,418</c:v>
                  </c:pt>
                  <c:pt idx="216">
                    <c:v>₹2,601</c:v>
                  </c:pt>
                  <c:pt idx="217">
                    <c:v>₹2,068</c:v>
                  </c:pt>
                  <c:pt idx="218">
                    <c:v>₹2,192</c:v>
                  </c:pt>
                  <c:pt idx="219">
                    <c:v>₹858</c:v>
                  </c:pt>
                  <c:pt idx="220">
                    <c:v>₹2,444</c:v>
                  </c:pt>
                  <c:pt idx="221">
                    <c:v>₹859</c:v>
                  </c:pt>
                  <c:pt idx="222">
                    <c:v>₹747</c:v>
                  </c:pt>
                  <c:pt idx="223">
                    <c:v>₹2,307</c:v>
                  </c:pt>
                  <c:pt idx="224">
                    <c:v>₹3,314</c:v>
                  </c:pt>
                  <c:pt idx="225">
                    <c:v>₹1,469</c:v>
                  </c:pt>
                  <c:pt idx="226">
                    <c:v>₹1,533</c:v>
                  </c:pt>
                  <c:pt idx="227">
                    <c:v>₹2,983</c:v>
                  </c:pt>
                  <c:pt idx="228">
                    <c:v>₹2,346</c:v>
                  </c:pt>
                  <c:pt idx="229">
                    <c:v>₹2,910</c:v>
                  </c:pt>
                  <c:pt idx="230">
                    <c:v>₹5,136</c:v>
                  </c:pt>
                  <c:pt idx="231">
                    <c:v>₹1,694</c:v>
                  </c:pt>
                  <c:pt idx="232">
                    <c:v>₹910</c:v>
                  </c:pt>
                  <c:pt idx="233">
                    <c:v>₹2,508</c:v>
                  </c:pt>
                  <c:pt idx="234">
                    <c:v>₹941</c:v>
                  </c:pt>
                  <c:pt idx="235">
                    <c:v>₹2,934</c:v>
                  </c:pt>
                  <c:pt idx="236">
                    <c:v>₹1,353</c:v>
                  </c:pt>
                  <c:pt idx="237">
                    <c:v>₹982</c:v>
                  </c:pt>
                  <c:pt idx="238">
                    <c:v>₹360</c:v>
                  </c:pt>
                  <c:pt idx="239">
                    <c:v>₹1,020</c:v>
                  </c:pt>
                  <c:pt idx="240">
                    <c:v>₹3,633</c:v>
                  </c:pt>
                  <c:pt idx="241">
                    <c:v>₹5,466</c:v>
                  </c:pt>
                  <c:pt idx="242">
                    <c:v>₹4,094</c:v>
                  </c:pt>
                  <c:pt idx="243">
                    <c:v>₹763</c:v>
                  </c:pt>
                  <c:pt idx="244">
                    <c:v>₹1,210</c:v>
                  </c:pt>
                  <c:pt idx="245">
                    <c:v>₹3,434</c:v>
                  </c:pt>
                  <c:pt idx="246">
                    <c:v>₹2,002</c:v>
                  </c:pt>
                  <c:pt idx="247">
                    <c:v>₹2,210</c:v>
                  </c:pt>
                  <c:pt idx="248">
                    <c:v>₹1,059</c:v>
                  </c:pt>
                  <c:pt idx="249">
                    <c:v>₹1,291</c:v>
                  </c:pt>
                  <c:pt idx="250">
                    <c:v>₹1,278</c:v>
                  </c:pt>
                  <c:pt idx="251">
                    <c:v>₹250</c:v>
                  </c:pt>
                  <c:pt idx="252">
                    <c:v>₹1,943</c:v>
                  </c:pt>
                  <c:pt idx="253">
                    <c:v>₹635</c:v>
                  </c:pt>
                  <c:pt idx="254">
                    <c:v>₹2,459</c:v>
                  </c:pt>
                  <c:pt idx="255">
                    <c:v>₹1,864</c:v>
                  </c:pt>
                  <c:pt idx="256">
                    <c:v>₹834</c:v>
                  </c:pt>
                  <c:pt idx="257">
                    <c:v>₹599</c:v>
                  </c:pt>
                  <c:pt idx="258">
                    <c:v>₹2,287</c:v>
                  </c:pt>
                  <c:pt idx="259">
                    <c:v>₹1,113</c:v>
                  </c:pt>
                  <c:pt idx="260">
                    <c:v>₹840</c:v>
                  </c:pt>
                  <c:pt idx="261">
                    <c:v>₹1,456</c:v>
                  </c:pt>
                  <c:pt idx="262">
                    <c:v>₹1,509</c:v>
                  </c:pt>
                  <c:pt idx="263">
                    <c:v>₹2,310</c:v>
                  </c:pt>
                  <c:pt idx="264">
                    <c:v>₹1,328</c:v>
                  </c:pt>
                  <c:pt idx="265">
                    <c:v>₹537</c:v>
                  </c:pt>
                  <c:pt idx="266">
                    <c:v>₹950</c:v>
                  </c:pt>
                  <c:pt idx="267">
                    <c:v>₹443</c:v>
                  </c:pt>
                  <c:pt idx="268">
                    <c:v>₹2,128</c:v>
                  </c:pt>
                  <c:pt idx="269">
                    <c:v>₹1,146</c:v>
                  </c:pt>
                  <c:pt idx="270">
                    <c:v>₹1,942</c:v>
                  </c:pt>
                  <c:pt idx="271">
                    <c:v>₹1,537</c:v>
                  </c:pt>
                  <c:pt idx="272">
                    <c:v>₹1,208</c:v>
                  </c:pt>
                  <c:pt idx="273">
                    <c:v>₹5,158</c:v>
                  </c:pt>
                  <c:pt idx="274">
                    <c:v>₹2,098</c:v>
                  </c:pt>
                  <c:pt idx="275">
                    <c:v>₹2,598</c:v>
                  </c:pt>
                  <c:pt idx="276">
                    <c:v>₹1,064</c:v>
                  </c:pt>
                  <c:pt idx="277">
                    <c:v>₹1,247</c:v>
                  </c:pt>
                  <c:pt idx="278">
                    <c:v>₹793</c:v>
                  </c:pt>
                  <c:pt idx="279">
                    <c:v>₹1,099</c:v>
                  </c:pt>
                  <c:pt idx="280">
                    <c:v>₹444</c:v>
                  </c:pt>
                  <c:pt idx="281">
                    <c:v>₹1,164</c:v>
                  </c:pt>
                  <c:pt idx="282">
                    <c:v>₹618</c:v>
                  </c:pt>
                  <c:pt idx="283">
                    <c:v>₹2,692</c:v>
                  </c:pt>
                  <c:pt idx="284">
                    <c:v>₹1,298</c:v>
                  </c:pt>
                  <c:pt idx="285">
                    <c:v>₹932</c:v>
                  </c:pt>
                  <c:pt idx="286">
                    <c:v>₹5,059</c:v>
                  </c:pt>
                  <c:pt idx="287">
                    <c:v>₹1,378</c:v>
                  </c:pt>
                  <c:pt idx="288">
                    <c:v>₹699</c:v>
                  </c:pt>
                  <c:pt idx="289">
                    <c:v>₹1,459</c:v>
                  </c:pt>
                  <c:pt idx="290">
                    <c:v>₹1,929</c:v>
                  </c:pt>
                  <c:pt idx="291">
                    <c:v>₹2,552</c:v>
                  </c:pt>
                  <c:pt idx="292">
                    <c:v>₹1,184</c:v>
                  </c:pt>
                  <c:pt idx="293">
                    <c:v>₹1,796</c:v>
                  </c:pt>
                  <c:pt idx="294">
                    <c:v>₹3,895</c:v>
                  </c:pt>
                  <c:pt idx="295">
                    <c:v>₹2,892</c:v>
                  </c:pt>
                  <c:pt idx="296">
                    <c:v>₹304</c:v>
                  </c:pt>
                  <c:pt idx="297">
                    <c:v>₹2,071</c:v>
                  </c:pt>
                  <c:pt idx="298">
                    <c:v>₹4,572</c:v>
                  </c:pt>
                  <c:pt idx="299">
                    <c:v>₹1,417</c:v>
                  </c:pt>
                </c:lvl>
                <c:lvl>
                  <c:pt idx="0">
                    <c:v>35</c:v>
                  </c:pt>
                  <c:pt idx="1">
                    <c:v>55</c:v>
                  </c:pt>
                  <c:pt idx="2">
                    <c:v>40</c:v>
                  </c:pt>
                  <c:pt idx="3">
                    <c:v>22</c:v>
                  </c:pt>
                  <c:pt idx="4">
                    <c:v>35</c:v>
                  </c:pt>
                  <c:pt idx="5">
                    <c:v>21</c:v>
                  </c:pt>
                  <c:pt idx="6">
                    <c:v>34</c:v>
                  </c:pt>
                  <c:pt idx="7">
                    <c:v>25</c:v>
                  </c:pt>
                  <c:pt idx="8">
                    <c:v>52</c:v>
                  </c:pt>
                  <c:pt idx="9">
                    <c:v>37</c:v>
                  </c:pt>
                  <c:pt idx="10">
                    <c:v>41</c:v>
                  </c:pt>
                  <c:pt idx="11">
                    <c:v>28</c:v>
                  </c:pt>
                  <c:pt idx="12">
                    <c:v>51</c:v>
                  </c:pt>
                  <c:pt idx="13">
                    <c:v>33</c:v>
                  </c:pt>
                  <c:pt idx="14">
                    <c:v>47</c:v>
                  </c:pt>
                  <c:pt idx="15">
                    <c:v>22</c:v>
                  </c:pt>
                  <c:pt idx="16">
                    <c:v>31</c:v>
                  </c:pt>
                  <c:pt idx="17">
                    <c:v>31</c:v>
                  </c:pt>
                  <c:pt idx="18">
                    <c:v>29</c:v>
                  </c:pt>
                  <c:pt idx="19">
                    <c:v>31</c:v>
                  </c:pt>
                  <c:pt idx="20">
                    <c:v>52</c:v>
                  </c:pt>
                  <c:pt idx="21">
                    <c:v>24</c:v>
                  </c:pt>
                  <c:pt idx="22">
                    <c:v>21</c:v>
                  </c:pt>
                  <c:pt idx="23">
                    <c:v>20</c:v>
                  </c:pt>
                  <c:pt idx="24">
                    <c:v>24</c:v>
                  </c:pt>
                  <c:pt idx="25">
                    <c:v>44</c:v>
                  </c:pt>
                  <c:pt idx="26">
                    <c:v>32</c:v>
                  </c:pt>
                  <c:pt idx="27">
                    <c:v>29</c:v>
                  </c:pt>
                  <c:pt idx="28">
                    <c:v>20</c:v>
                  </c:pt>
                  <c:pt idx="29">
                    <c:v>43</c:v>
                  </c:pt>
                  <c:pt idx="30">
                    <c:v>31</c:v>
                  </c:pt>
                  <c:pt idx="31">
                    <c:v>39</c:v>
                  </c:pt>
                  <c:pt idx="32">
                    <c:v>54</c:v>
                  </c:pt>
                  <c:pt idx="33">
                    <c:v>21</c:v>
                  </c:pt>
                  <c:pt idx="34">
                    <c:v>53</c:v>
                  </c:pt>
                  <c:pt idx="35">
                    <c:v>35</c:v>
                  </c:pt>
                  <c:pt idx="36">
                    <c:v>44</c:v>
                  </c:pt>
                  <c:pt idx="37">
                    <c:v>32</c:v>
                  </c:pt>
                  <c:pt idx="38">
                    <c:v>19</c:v>
                  </c:pt>
                  <c:pt idx="39">
                    <c:v>44</c:v>
                  </c:pt>
                  <c:pt idx="40">
                    <c:v>30</c:v>
                  </c:pt>
                  <c:pt idx="41">
                    <c:v>55</c:v>
                  </c:pt>
                  <c:pt idx="42">
                    <c:v>25</c:v>
                  </c:pt>
                  <c:pt idx="43">
                    <c:v>47</c:v>
                  </c:pt>
                  <c:pt idx="44">
                    <c:v>33</c:v>
                  </c:pt>
                  <c:pt idx="45">
                    <c:v>35</c:v>
                  </c:pt>
                  <c:pt idx="46">
                    <c:v>36</c:v>
                  </c:pt>
                  <c:pt idx="47">
                    <c:v>25</c:v>
                  </c:pt>
                  <c:pt idx="48">
                    <c:v>30</c:v>
                  </c:pt>
                  <c:pt idx="49">
                    <c:v>36</c:v>
                  </c:pt>
                  <c:pt idx="50">
                    <c:v>21</c:v>
                  </c:pt>
                  <c:pt idx="51">
                    <c:v>55</c:v>
                  </c:pt>
                  <c:pt idx="52">
                    <c:v>22</c:v>
                  </c:pt>
                  <c:pt idx="53">
                    <c:v>30</c:v>
                  </c:pt>
                  <c:pt idx="54">
                    <c:v>47</c:v>
                  </c:pt>
                  <c:pt idx="55">
                    <c:v>19</c:v>
                  </c:pt>
                  <c:pt idx="56">
                    <c:v>48</c:v>
                  </c:pt>
                  <c:pt idx="57">
                    <c:v>38</c:v>
                  </c:pt>
                  <c:pt idx="58">
                    <c:v>46</c:v>
                  </c:pt>
                  <c:pt idx="59">
                    <c:v>53</c:v>
                  </c:pt>
                  <c:pt idx="60">
                    <c:v>48</c:v>
                  </c:pt>
                  <c:pt idx="61">
                    <c:v>18</c:v>
                  </c:pt>
                  <c:pt idx="62">
                    <c:v>30</c:v>
                  </c:pt>
                  <c:pt idx="63">
                    <c:v>50</c:v>
                  </c:pt>
                  <c:pt idx="64">
                    <c:v>34</c:v>
                  </c:pt>
                  <c:pt idx="65">
                    <c:v>33</c:v>
                  </c:pt>
                  <c:pt idx="66">
                    <c:v>20</c:v>
                  </c:pt>
                  <c:pt idx="67">
                    <c:v>55</c:v>
                  </c:pt>
                  <c:pt idx="68">
                    <c:v>40</c:v>
                  </c:pt>
                  <c:pt idx="69">
                    <c:v>43</c:v>
                  </c:pt>
                  <c:pt idx="70">
                    <c:v>30</c:v>
                  </c:pt>
                  <c:pt idx="71">
                    <c:v>44</c:v>
                  </c:pt>
                  <c:pt idx="72">
                    <c:v>25</c:v>
                  </c:pt>
                  <c:pt idx="73">
                    <c:v>42</c:v>
                  </c:pt>
                  <c:pt idx="74">
                    <c:v>37</c:v>
                  </c:pt>
                  <c:pt idx="75">
                    <c:v>27</c:v>
                  </c:pt>
                  <c:pt idx="76">
                    <c:v>40</c:v>
                  </c:pt>
                  <c:pt idx="77">
                    <c:v>53</c:v>
                  </c:pt>
                  <c:pt idx="78">
                    <c:v>29</c:v>
                  </c:pt>
                  <c:pt idx="79">
                    <c:v>46</c:v>
                  </c:pt>
                  <c:pt idx="80">
                    <c:v>19</c:v>
                  </c:pt>
                  <c:pt idx="81">
                    <c:v>38</c:v>
                  </c:pt>
                  <c:pt idx="82">
                    <c:v>46</c:v>
                  </c:pt>
                  <c:pt idx="83">
                    <c:v>23</c:v>
                  </c:pt>
                  <c:pt idx="84">
                    <c:v>45</c:v>
                  </c:pt>
                  <c:pt idx="85">
                    <c:v>35</c:v>
                  </c:pt>
                  <c:pt idx="86">
                    <c:v>37</c:v>
                  </c:pt>
                  <c:pt idx="87">
                    <c:v>28</c:v>
                  </c:pt>
                  <c:pt idx="88">
                    <c:v>46</c:v>
                  </c:pt>
                  <c:pt idx="89">
                    <c:v>32</c:v>
                  </c:pt>
                  <c:pt idx="90">
                    <c:v>26</c:v>
                  </c:pt>
                  <c:pt idx="91">
                    <c:v>54</c:v>
                  </c:pt>
                  <c:pt idx="92">
                    <c:v>24</c:v>
                  </c:pt>
                  <c:pt idx="93">
                    <c:v>40</c:v>
                  </c:pt>
                  <c:pt idx="94">
                    <c:v>55</c:v>
                  </c:pt>
                  <c:pt idx="95">
                    <c:v>50</c:v>
                  </c:pt>
                  <c:pt idx="96">
                    <c:v>47</c:v>
                  </c:pt>
                  <c:pt idx="97">
                    <c:v>29</c:v>
                  </c:pt>
                  <c:pt idx="98">
                    <c:v>39</c:v>
                  </c:pt>
                  <c:pt idx="99">
                    <c:v>23</c:v>
                  </c:pt>
                  <c:pt idx="100">
                    <c:v>41</c:v>
                  </c:pt>
                  <c:pt idx="101">
                    <c:v>39</c:v>
                  </c:pt>
                  <c:pt idx="102">
                    <c:v>33</c:v>
                  </c:pt>
                  <c:pt idx="103">
                    <c:v>42</c:v>
                  </c:pt>
                  <c:pt idx="104">
                    <c:v>51</c:v>
                  </c:pt>
                  <c:pt idx="105">
                    <c:v>50</c:v>
                  </c:pt>
                  <c:pt idx="106">
                    <c:v>48</c:v>
                  </c:pt>
                  <c:pt idx="107">
                    <c:v>36</c:v>
                  </c:pt>
                  <c:pt idx="108">
                    <c:v>33</c:v>
                  </c:pt>
                  <c:pt idx="109">
                    <c:v>50</c:v>
                  </c:pt>
                  <c:pt idx="110">
                    <c:v>55</c:v>
                  </c:pt>
                  <c:pt idx="111">
                    <c:v>47</c:v>
                  </c:pt>
                  <c:pt idx="112">
                    <c:v>30</c:v>
                  </c:pt>
                  <c:pt idx="113">
                    <c:v>51</c:v>
                  </c:pt>
                  <c:pt idx="114">
                    <c:v>45</c:v>
                  </c:pt>
                  <c:pt idx="115">
                    <c:v>50</c:v>
                  </c:pt>
                  <c:pt idx="116">
                    <c:v>27</c:v>
                  </c:pt>
                  <c:pt idx="117">
                    <c:v>51</c:v>
                  </c:pt>
                  <c:pt idx="118">
                    <c:v>22</c:v>
                  </c:pt>
                  <c:pt idx="119">
                    <c:v>41</c:v>
                  </c:pt>
                  <c:pt idx="120">
                    <c:v>23</c:v>
                  </c:pt>
                  <c:pt idx="121">
                    <c:v>53</c:v>
                  </c:pt>
                  <c:pt idx="122">
                    <c:v>32</c:v>
                  </c:pt>
                  <c:pt idx="123">
                    <c:v>28</c:v>
                  </c:pt>
                  <c:pt idx="124">
                    <c:v>54</c:v>
                  </c:pt>
                  <c:pt idx="125">
                    <c:v>48</c:v>
                  </c:pt>
                  <c:pt idx="126">
                    <c:v>38</c:v>
                  </c:pt>
                  <c:pt idx="127">
                    <c:v>28</c:v>
                  </c:pt>
                  <c:pt idx="128">
                    <c:v>21</c:v>
                  </c:pt>
                  <c:pt idx="129">
                    <c:v>54</c:v>
                  </c:pt>
                  <c:pt idx="130">
                    <c:v>43</c:v>
                  </c:pt>
                  <c:pt idx="131">
                    <c:v>50</c:v>
                  </c:pt>
                  <c:pt idx="132">
                    <c:v>54</c:v>
                  </c:pt>
                  <c:pt idx="133">
                    <c:v>55</c:v>
                  </c:pt>
                  <c:pt idx="134">
                    <c:v>25</c:v>
                  </c:pt>
                  <c:pt idx="135">
                    <c:v>31</c:v>
                  </c:pt>
                  <c:pt idx="136">
                    <c:v>48</c:v>
                  </c:pt>
                  <c:pt idx="137">
                    <c:v>35</c:v>
                  </c:pt>
                  <c:pt idx="138">
                    <c:v>46</c:v>
                  </c:pt>
                  <c:pt idx="139">
                    <c:v>24</c:v>
                  </c:pt>
                  <c:pt idx="140">
                    <c:v>36</c:v>
                  </c:pt>
                  <c:pt idx="141">
                    <c:v>36</c:v>
                  </c:pt>
                  <c:pt idx="142">
                    <c:v>30</c:v>
                  </c:pt>
                  <c:pt idx="143">
                    <c:v>45</c:v>
                  </c:pt>
                  <c:pt idx="144">
                    <c:v>35</c:v>
                  </c:pt>
                  <c:pt idx="145">
                    <c:v>25</c:v>
                  </c:pt>
                  <c:pt idx="146">
                    <c:v>31</c:v>
                  </c:pt>
                  <c:pt idx="147">
                    <c:v>27</c:v>
                  </c:pt>
                  <c:pt idx="148">
                    <c:v>44</c:v>
                  </c:pt>
                  <c:pt idx="149">
                    <c:v>48</c:v>
                  </c:pt>
                  <c:pt idx="150">
                    <c:v>52</c:v>
                  </c:pt>
                  <c:pt idx="151">
                    <c:v>52</c:v>
                  </c:pt>
                  <c:pt idx="152">
                    <c:v>31</c:v>
                  </c:pt>
                  <c:pt idx="153">
                    <c:v>32</c:v>
                  </c:pt>
                  <c:pt idx="154">
                    <c:v>53</c:v>
                  </c:pt>
                  <c:pt idx="155">
                    <c:v>42</c:v>
                  </c:pt>
                  <c:pt idx="156">
                    <c:v>26</c:v>
                  </c:pt>
                  <c:pt idx="157">
                    <c:v>22</c:v>
                  </c:pt>
                  <c:pt idx="158">
                    <c:v>48</c:v>
                  </c:pt>
                  <c:pt idx="159">
                    <c:v>47</c:v>
                  </c:pt>
                  <c:pt idx="160">
                    <c:v>55</c:v>
                  </c:pt>
                  <c:pt idx="161">
                    <c:v>28</c:v>
                  </c:pt>
                  <c:pt idx="162">
                    <c:v>21</c:v>
                  </c:pt>
                  <c:pt idx="163">
                    <c:v>18</c:v>
                  </c:pt>
                  <c:pt idx="164">
                    <c:v>51</c:v>
                  </c:pt>
                  <c:pt idx="165">
                    <c:v>20</c:v>
                  </c:pt>
                  <c:pt idx="166">
                    <c:v>20</c:v>
                  </c:pt>
                  <c:pt idx="167">
                    <c:v>55</c:v>
                  </c:pt>
                  <c:pt idx="168">
                    <c:v>23</c:v>
                  </c:pt>
                  <c:pt idx="169">
                    <c:v>46</c:v>
                  </c:pt>
                  <c:pt idx="170">
                    <c:v>35</c:v>
                  </c:pt>
                  <c:pt idx="171">
                    <c:v>45</c:v>
                  </c:pt>
                  <c:pt idx="172">
                    <c:v>42</c:v>
                  </c:pt>
                  <c:pt idx="173">
                    <c:v>37</c:v>
                  </c:pt>
                  <c:pt idx="174">
                    <c:v>39</c:v>
                  </c:pt>
                  <c:pt idx="175">
                    <c:v>42</c:v>
                  </c:pt>
                  <c:pt idx="176">
                    <c:v>36</c:v>
                  </c:pt>
                  <c:pt idx="177">
                    <c:v>52</c:v>
                  </c:pt>
                  <c:pt idx="178">
                    <c:v>20</c:v>
                  </c:pt>
                  <c:pt idx="179">
                    <c:v>46</c:v>
                  </c:pt>
                  <c:pt idx="180">
                    <c:v>37</c:v>
                  </c:pt>
                  <c:pt idx="181">
                    <c:v>28</c:v>
                  </c:pt>
                  <c:pt idx="182">
                    <c:v>19</c:v>
                  </c:pt>
                  <c:pt idx="183">
                    <c:v>38</c:v>
                  </c:pt>
                  <c:pt idx="184">
                    <c:v>47</c:v>
                  </c:pt>
                  <c:pt idx="185">
                    <c:v>26</c:v>
                  </c:pt>
                  <c:pt idx="186">
                    <c:v>38</c:v>
                  </c:pt>
                  <c:pt idx="187">
                    <c:v>28</c:v>
                  </c:pt>
                  <c:pt idx="188">
                    <c:v>50</c:v>
                  </c:pt>
                  <c:pt idx="189">
                    <c:v>34</c:v>
                  </c:pt>
                  <c:pt idx="190">
                    <c:v>26</c:v>
                  </c:pt>
                  <c:pt idx="191">
                    <c:v>44</c:v>
                  </c:pt>
                  <c:pt idx="192">
                    <c:v>35</c:v>
                  </c:pt>
                  <c:pt idx="193">
                    <c:v>40</c:v>
                  </c:pt>
                  <c:pt idx="194">
                    <c:v>39</c:v>
                  </c:pt>
                  <c:pt idx="195">
                    <c:v>37</c:v>
                  </c:pt>
                  <c:pt idx="196">
                    <c:v>23</c:v>
                  </c:pt>
                  <c:pt idx="197">
                    <c:v>22</c:v>
                  </c:pt>
                  <c:pt idx="198">
                    <c:v>51</c:v>
                  </c:pt>
                  <c:pt idx="199">
                    <c:v>42</c:v>
                  </c:pt>
                  <c:pt idx="200">
                    <c:v>37</c:v>
                  </c:pt>
                  <c:pt idx="201">
                    <c:v>26</c:v>
                  </c:pt>
                  <c:pt idx="202">
                    <c:v>20</c:v>
                  </c:pt>
                  <c:pt idx="203">
                    <c:v>23</c:v>
                  </c:pt>
                  <c:pt idx="204">
                    <c:v>33</c:v>
                  </c:pt>
                  <c:pt idx="205">
                    <c:v>49</c:v>
                  </c:pt>
                  <c:pt idx="206">
                    <c:v>45</c:v>
                  </c:pt>
                  <c:pt idx="207">
                    <c:v>25</c:v>
                  </c:pt>
                  <c:pt idx="208">
                    <c:v>38</c:v>
                  </c:pt>
                  <c:pt idx="209">
                    <c:v>36</c:v>
                  </c:pt>
                  <c:pt idx="210">
                    <c:v>30</c:v>
                  </c:pt>
                  <c:pt idx="211">
                    <c:v>37</c:v>
                  </c:pt>
                  <c:pt idx="212">
                    <c:v>41</c:v>
                  </c:pt>
                  <c:pt idx="213">
                    <c:v>38</c:v>
                  </c:pt>
                  <c:pt idx="214">
                    <c:v>38</c:v>
                  </c:pt>
                  <c:pt idx="215">
                    <c:v>38</c:v>
                  </c:pt>
                  <c:pt idx="216">
                    <c:v>53</c:v>
                  </c:pt>
                  <c:pt idx="217">
                    <c:v>22</c:v>
                  </c:pt>
                  <c:pt idx="218">
                    <c:v>45</c:v>
                  </c:pt>
                  <c:pt idx="219">
                    <c:v>36</c:v>
                  </c:pt>
                  <c:pt idx="220">
                    <c:v>19</c:v>
                  </c:pt>
                  <c:pt idx="221">
                    <c:v>48</c:v>
                  </c:pt>
                  <c:pt idx="222">
                    <c:v>42</c:v>
                  </c:pt>
                  <c:pt idx="223">
                    <c:v>49</c:v>
                  </c:pt>
                  <c:pt idx="224">
                    <c:v>29</c:v>
                  </c:pt>
                  <c:pt idx="225">
                    <c:v>24</c:v>
                  </c:pt>
                  <c:pt idx="226">
                    <c:v>40</c:v>
                  </c:pt>
                  <c:pt idx="227">
                    <c:v>38</c:v>
                  </c:pt>
                  <c:pt idx="228">
                    <c:v>39</c:v>
                  </c:pt>
                  <c:pt idx="229">
                    <c:v>52</c:v>
                  </c:pt>
                  <c:pt idx="230">
                    <c:v>34</c:v>
                  </c:pt>
                  <c:pt idx="231">
                    <c:v>45</c:v>
                  </c:pt>
                  <c:pt idx="232">
                    <c:v>21</c:v>
                  </c:pt>
                  <c:pt idx="233">
                    <c:v>36</c:v>
                  </c:pt>
                  <c:pt idx="234">
                    <c:v>41</c:v>
                  </c:pt>
                  <c:pt idx="235">
                    <c:v>55</c:v>
                  </c:pt>
                  <c:pt idx="236">
                    <c:v>43</c:v>
                  </c:pt>
                  <c:pt idx="237">
                    <c:v>20</c:v>
                  </c:pt>
                  <c:pt idx="238">
                    <c:v>43</c:v>
                  </c:pt>
                  <c:pt idx="239">
                    <c:v>24</c:v>
                  </c:pt>
                  <c:pt idx="240">
                    <c:v>43</c:v>
                  </c:pt>
                  <c:pt idx="241">
                    <c:v>32</c:v>
                  </c:pt>
                  <c:pt idx="242">
                    <c:v>51</c:v>
                  </c:pt>
                  <c:pt idx="243">
                    <c:v>20</c:v>
                  </c:pt>
                  <c:pt idx="244">
                    <c:v>46</c:v>
                  </c:pt>
                  <c:pt idx="245">
                    <c:v>32</c:v>
                  </c:pt>
                  <c:pt idx="246">
                    <c:v>18</c:v>
                  </c:pt>
                  <c:pt idx="247">
                    <c:v>18</c:v>
                  </c:pt>
                  <c:pt idx="248">
                    <c:v>37</c:v>
                  </c:pt>
                  <c:pt idx="249">
                    <c:v>43</c:v>
                  </c:pt>
                  <c:pt idx="250">
                    <c:v>37</c:v>
                  </c:pt>
                  <c:pt idx="251">
                    <c:v>40</c:v>
                  </c:pt>
                  <c:pt idx="252">
                    <c:v>48</c:v>
                  </c:pt>
                  <c:pt idx="253">
                    <c:v>29</c:v>
                  </c:pt>
                  <c:pt idx="254">
                    <c:v>23</c:v>
                  </c:pt>
                  <c:pt idx="255">
                    <c:v>19</c:v>
                  </c:pt>
                  <c:pt idx="256">
                    <c:v>47</c:v>
                  </c:pt>
                  <c:pt idx="257">
                    <c:v>26</c:v>
                  </c:pt>
                  <c:pt idx="258">
                    <c:v>21</c:v>
                  </c:pt>
                  <c:pt idx="259">
                    <c:v>24</c:v>
                  </c:pt>
                  <c:pt idx="260">
                    <c:v>30</c:v>
                  </c:pt>
                  <c:pt idx="261">
                    <c:v>23</c:v>
                  </c:pt>
                  <c:pt idx="262">
                    <c:v>47</c:v>
                  </c:pt>
                  <c:pt idx="263">
                    <c:v>40</c:v>
                  </c:pt>
                  <c:pt idx="264">
                    <c:v>44</c:v>
                  </c:pt>
                  <c:pt idx="265">
                    <c:v>40</c:v>
                  </c:pt>
                  <c:pt idx="266">
                    <c:v>51</c:v>
                  </c:pt>
                  <c:pt idx="267">
                    <c:v>42</c:v>
                  </c:pt>
                  <c:pt idx="268">
                    <c:v>33</c:v>
                  </c:pt>
                  <c:pt idx="269">
                    <c:v>49</c:v>
                  </c:pt>
                  <c:pt idx="270">
                    <c:v>47</c:v>
                  </c:pt>
                  <c:pt idx="271">
                    <c:v>39</c:v>
                  </c:pt>
                  <c:pt idx="272">
                    <c:v>30</c:v>
                  </c:pt>
                  <c:pt idx="273">
                    <c:v>55</c:v>
                  </c:pt>
                  <c:pt idx="274">
                    <c:v>26</c:v>
                  </c:pt>
                  <c:pt idx="275">
                    <c:v>44</c:v>
                  </c:pt>
                  <c:pt idx="276">
                    <c:v>40</c:v>
                  </c:pt>
                  <c:pt idx="277">
                    <c:v>45</c:v>
                  </c:pt>
                  <c:pt idx="278">
                    <c:v>21</c:v>
                  </c:pt>
                  <c:pt idx="279">
                    <c:v>36</c:v>
                  </c:pt>
                  <c:pt idx="280">
                    <c:v>55</c:v>
                  </c:pt>
                  <c:pt idx="281">
                    <c:v>26</c:v>
                  </c:pt>
                  <c:pt idx="282">
                    <c:v>37</c:v>
                  </c:pt>
                  <c:pt idx="283">
                    <c:v>40</c:v>
                  </c:pt>
                  <c:pt idx="284">
                    <c:v>33</c:v>
                  </c:pt>
                  <c:pt idx="285">
                    <c:v>41</c:v>
                  </c:pt>
                  <c:pt idx="286">
                    <c:v>22</c:v>
                  </c:pt>
                  <c:pt idx="287">
                    <c:v>23</c:v>
                  </c:pt>
                  <c:pt idx="288">
                    <c:v>42</c:v>
                  </c:pt>
                  <c:pt idx="289">
                    <c:v>46</c:v>
                  </c:pt>
                  <c:pt idx="290">
                    <c:v>41</c:v>
                  </c:pt>
                  <c:pt idx="291">
                    <c:v>50</c:v>
                  </c:pt>
                  <c:pt idx="292">
                    <c:v>36</c:v>
                  </c:pt>
                  <c:pt idx="293">
                    <c:v>39</c:v>
                  </c:pt>
                  <c:pt idx="294">
                    <c:v>41</c:v>
                  </c:pt>
                  <c:pt idx="295">
                    <c:v>22</c:v>
                  </c:pt>
                  <c:pt idx="296">
                    <c:v>52</c:v>
                  </c:pt>
                  <c:pt idx="297">
                    <c:v>28</c:v>
                  </c:pt>
                  <c:pt idx="298">
                    <c:v>41</c:v>
                  </c:pt>
                  <c:pt idx="299">
                    <c:v>52</c:v>
                  </c:pt>
                </c:lvl>
                <c:lvl>
                  <c:pt idx="0">
                    <c:v>Bengaluru</c:v>
                  </c:pt>
                  <c:pt idx="1">
                    <c:v>Hyderabad</c:v>
                  </c:pt>
                  <c:pt idx="2">
                    <c:v>Delhi</c:v>
                  </c:pt>
                  <c:pt idx="3">
                    <c:v>Pune</c:v>
                  </c:pt>
                  <c:pt idx="4">
                    <c:v>Mumbai</c:v>
                  </c:pt>
                  <c:pt idx="5">
                    <c:v>Kolkata</c:v>
                  </c:pt>
                  <c:pt idx="6">
                    <c:v>Mumbai</c:v>
                  </c:pt>
                  <c:pt idx="7">
                    <c:v>Kolkata</c:v>
                  </c:pt>
                  <c:pt idx="8">
                    <c:v>Pune</c:v>
                  </c:pt>
                  <c:pt idx="9">
                    <c:v>Kolkata</c:v>
                  </c:pt>
                  <c:pt idx="10">
                    <c:v>Bengaluru</c:v>
                  </c:pt>
                  <c:pt idx="11">
                    <c:v>Chennai</c:v>
                  </c:pt>
                  <c:pt idx="12">
                    <c:v>Hyderabad</c:v>
                  </c:pt>
                  <c:pt idx="13">
                    <c:v>Chennai</c:v>
                  </c:pt>
                  <c:pt idx="14">
                    <c:v>Hyderabad</c:v>
                  </c:pt>
                  <c:pt idx="15">
                    <c:v>Kolkata</c:v>
                  </c:pt>
                  <c:pt idx="16">
                    <c:v>Hyderabad</c:v>
                  </c:pt>
                  <c:pt idx="17">
                    <c:v>Delhi</c:v>
                  </c:pt>
                  <c:pt idx="18">
                    <c:v>Bengaluru</c:v>
                  </c:pt>
                  <c:pt idx="19">
                    <c:v>Delhi</c:v>
                  </c:pt>
                  <c:pt idx="20">
                    <c:v>Bengaluru</c:v>
                  </c:pt>
                  <c:pt idx="21">
                    <c:v>Delhi</c:v>
                  </c:pt>
                  <c:pt idx="22">
                    <c:v>Delhi</c:v>
                  </c:pt>
                  <c:pt idx="23">
                    <c:v>Chennai</c:v>
                  </c:pt>
                  <c:pt idx="24">
                    <c:v>Pune</c:v>
                  </c:pt>
                  <c:pt idx="25">
                    <c:v>Kolkata</c:v>
                  </c:pt>
                  <c:pt idx="26">
                    <c:v>Kolkata</c:v>
                  </c:pt>
                  <c:pt idx="27">
                    <c:v>Delhi</c:v>
                  </c:pt>
                  <c:pt idx="28">
                    <c:v>Delhi</c:v>
                  </c:pt>
                  <c:pt idx="29">
                    <c:v>Delhi</c:v>
                  </c:pt>
                  <c:pt idx="30">
                    <c:v>Delhi</c:v>
                  </c:pt>
                  <c:pt idx="31">
                    <c:v>Pune</c:v>
                  </c:pt>
                  <c:pt idx="32">
                    <c:v>Pune</c:v>
                  </c:pt>
                  <c:pt idx="33">
                    <c:v>Hyderabad</c:v>
                  </c:pt>
                  <c:pt idx="34">
                    <c:v>Hyderabad</c:v>
                  </c:pt>
                  <c:pt idx="35">
                    <c:v>Mumbai</c:v>
                  </c:pt>
                  <c:pt idx="36">
                    <c:v>Hyderabad</c:v>
                  </c:pt>
                  <c:pt idx="37">
                    <c:v>Kolkata</c:v>
                  </c:pt>
                  <c:pt idx="38">
                    <c:v>Chennai</c:v>
                  </c:pt>
                  <c:pt idx="39">
                    <c:v>Delhi</c:v>
                  </c:pt>
                  <c:pt idx="40">
                    <c:v>Mumbai</c:v>
                  </c:pt>
                  <c:pt idx="41">
                    <c:v>Bengaluru</c:v>
                  </c:pt>
                  <c:pt idx="42">
                    <c:v>Kolkata</c:v>
                  </c:pt>
                  <c:pt idx="43">
                    <c:v>Pune</c:v>
                  </c:pt>
                  <c:pt idx="44">
                    <c:v>Kolkata</c:v>
                  </c:pt>
                  <c:pt idx="45">
                    <c:v>Delhi</c:v>
                  </c:pt>
                  <c:pt idx="46">
                    <c:v>Bengaluru</c:v>
                  </c:pt>
                  <c:pt idx="47">
                    <c:v>Mumbai</c:v>
                  </c:pt>
                  <c:pt idx="48">
                    <c:v>Bengaluru</c:v>
                  </c:pt>
                  <c:pt idx="49">
                    <c:v>Chennai</c:v>
                  </c:pt>
                  <c:pt idx="50">
                    <c:v>Pune</c:v>
                  </c:pt>
                  <c:pt idx="51">
                    <c:v>Kolkata</c:v>
                  </c:pt>
                  <c:pt idx="52">
                    <c:v>Chennai</c:v>
                  </c:pt>
                  <c:pt idx="53">
                    <c:v>Pune</c:v>
                  </c:pt>
                  <c:pt idx="54">
                    <c:v>Bengaluru</c:v>
                  </c:pt>
                  <c:pt idx="55">
                    <c:v>Chennai</c:v>
                  </c:pt>
                  <c:pt idx="56">
                    <c:v>Bengaluru</c:v>
                  </c:pt>
                  <c:pt idx="57">
                    <c:v>Delhi</c:v>
                  </c:pt>
                  <c:pt idx="58">
                    <c:v>Pune</c:v>
                  </c:pt>
                  <c:pt idx="59">
                    <c:v>Bengaluru</c:v>
                  </c:pt>
                  <c:pt idx="60">
                    <c:v>Hyderabad</c:v>
                  </c:pt>
                  <c:pt idx="61">
                    <c:v>Delhi</c:v>
                  </c:pt>
                  <c:pt idx="62">
                    <c:v>Delhi</c:v>
                  </c:pt>
                  <c:pt idx="63">
                    <c:v>Mumbai</c:v>
                  </c:pt>
                  <c:pt idx="64">
                    <c:v>Kolkata</c:v>
                  </c:pt>
                  <c:pt idx="65">
                    <c:v>Bengaluru</c:v>
                  </c:pt>
                  <c:pt idx="66">
                    <c:v>Bengaluru</c:v>
                  </c:pt>
                  <c:pt idx="67">
                    <c:v>Hyderabad</c:v>
                  </c:pt>
                  <c:pt idx="68">
                    <c:v>Hyderabad</c:v>
                  </c:pt>
                  <c:pt idx="69">
                    <c:v>Bengaluru</c:v>
                  </c:pt>
                  <c:pt idx="70">
                    <c:v>Mumbai</c:v>
                  </c:pt>
                  <c:pt idx="71">
                    <c:v>Pune</c:v>
                  </c:pt>
                  <c:pt idx="72">
                    <c:v>Kolkata</c:v>
                  </c:pt>
                  <c:pt idx="73">
                    <c:v>Chennai</c:v>
                  </c:pt>
                  <c:pt idx="74">
                    <c:v>Pune</c:v>
                  </c:pt>
                  <c:pt idx="75">
                    <c:v>Pune</c:v>
                  </c:pt>
                  <c:pt idx="76">
                    <c:v>Chennai</c:v>
                  </c:pt>
                  <c:pt idx="77">
                    <c:v>Kolkata</c:v>
                  </c:pt>
                  <c:pt idx="78">
                    <c:v>Delhi</c:v>
                  </c:pt>
                  <c:pt idx="79">
                    <c:v>Hyderabad</c:v>
                  </c:pt>
                  <c:pt idx="80">
                    <c:v>Pune</c:v>
                  </c:pt>
                  <c:pt idx="81">
                    <c:v>Chennai</c:v>
                  </c:pt>
                  <c:pt idx="82">
                    <c:v>Hyderabad</c:v>
                  </c:pt>
                  <c:pt idx="83">
                    <c:v>Kolkata</c:v>
                  </c:pt>
                  <c:pt idx="84">
                    <c:v>Kolkata</c:v>
                  </c:pt>
                  <c:pt idx="85">
                    <c:v>Kolkata</c:v>
                  </c:pt>
                  <c:pt idx="86">
                    <c:v>Delhi</c:v>
                  </c:pt>
                  <c:pt idx="87">
                    <c:v>Delhi</c:v>
                  </c:pt>
                  <c:pt idx="88">
                    <c:v>Delhi</c:v>
                  </c:pt>
                  <c:pt idx="89">
                    <c:v>Bengaluru</c:v>
                  </c:pt>
                  <c:pt idx="90">
                    <c:v>Mumbai</c:v>
                  </c:pt>
                  <c:pt idx="91">
                    <c:v>Hyderabad</c:v>
                  </c:pt>
                  <c:pt idx="92">
                    <c:v>Kolkata</c:v>
                  </c:pt>
                  <c:pt idx="93">
                    <c:v>Kolkata</c:v>
                  </c:pt>
                  <c:pt idx="94">
                    <c:v>Kolkata</c:v>
                  </c:pt>
                  <c:pt idx="95">
                    <c:v>Delhi</c:v>
                  </c:pt>
                  <c:pt idx="96">
                    <c:v>Hyderabad</c:v>
                  </c:pt>
                  <c:pt idx="97">
                    <c:v>Chennai</c:v>
                  </c:pt>
                  <c:pt idx="98">
                    <c:v>Bengaluru</c:v>
                  </c:pt>
                  <c:pt idx="99">
                    <c:v>Mumbai</c:v>
                  </c:pt>
                  <c:pt idx="100">
                    <c:v>Chennai</c:v>
                  </c:pt>
                  <c:pt idx="101">
                    <c:v>Bengaluru</c:v>
                  </c:pt>
                  <c:pt idx="102">
                    <c:v>Delhi</c:v>
                  </c:pt>
                  <c:pt idx="103">
                    <c:v>Kolkata</c:v>
                  </c:pt>
                  <c:pt idx="104">
                    <c:v>Pune</c:v>
                  </c:pt>
                  <c:pt idx="105">
                    <c:v>Hyderabad</c:v>
                  </c:pt>
                  <c:pt idx="106">
                    <c:v>Delhi</c:v>
                  </c:pt>
                  <c:pt idx="107">
                    <c:v>Bengaluru</c:v>
                  </c:pt>
                  <c:pt idx="108">
                    <c:v>Chennai</c:v>
                  </c:pt>
                  <c:pt idx="109">
                    <c:v>Kolkata</c:v>
                  </c:pt>
                  <c:pt idx="110">
                    <c:v>Kolkata</c:v>
                  </c:pt>
                  <c:pt idx="111">
                    <c:v>Pune</c:v>
                  </c:pt>
                  <c:pt idx="112">
                    <c:v>Kolkata</c:v>
                  </c:pt>
                  <c:pt idx="113">
                    <c:v>Delhi</c:v>
                  </c:pt>
                  <c:pt idx="114">
                    <c:v>Pune</c:v>
                  </c:pt>
                  <c:pt idx="115">
                    <c:v>Delhi</c:v>
                  </c:pt>
                  <c:pt idx="116">
                    <c:v>Chennai</c:v>
                  </c:pt>
                  <c:pt idx="117">
                    <c:v>Hyderabad</c:v>
                  </c:pt>
                  <c:pt idx="118">
                    <c:v>Kolkata</c:v>
                  </c:pt>
                  <c:pt idx="119">
                    <c:v>Kolkata</c:v>
                  </c:pt>
                  <c:pt idx="120">
                    <c:v>Chennai</c:v>
                  </c:pt>
                  <c:pt idx="121">
                    <c:v>Kolkata</c:v>
                  </c:pt>
                  <c:pt idx="122">
                    <c:v>Delhi</c:v>
                  </c:pt>
                  <c:pt idx="123">
                    <c:v>Mumbai</c:v>
                  </c:pt>
                  <c:pt idx="124">
                    <c:v>Kolkata</c:v>
                  </c:pt>
                  <c:pt idx="125">
                    <c:v>Hyderabad</c:v>
                  </c:pt>
                  <c:pt idx="126">
                    <c:v>Bengaluru</c:v>
                  </c:pt>
                  <c:pt idx="127">
                    <c:v>Mumbai</c:v>
                  </c:pt>
                  <c:pt idx="128">
                    <c:v>Bengaluru</c:v>
                  </c:pt>
                  <c:pt idx="129">
                    <c:v>Bengaluru</c:v>
                  </c:pt>
                  <c:pt idx="130">
                    <c:v>Bengaluru</c:v>
                  </c:pt>
                  <c:pt idx="131">
                    <c:v>Mumbai</c:v>
                  </c:pt>
                  <c:pt idx="132">
                    <c:v>Pune</c:v>
                  </c:pt>
                  <c:pt idx="133">
                    <c:v>Pune</c:v>
                  </c:pt>
                  <c:pt idx="134">
                    <c:v>Pune</c:v>
                  </c:pt>
                  <c:pt idx="135">
                    <c:v>Chennai</c:v>
                  </c:pt>
                  <c:pt idx="136">
                    <c:v>Chennai</c:v>
                  </c:pt>
                  <c:pt idx="137">
                    <c:v>Kolkata</c:v>
                  </c:pt>
                  <c:pt idx="138">
                    <c:v>Delhi</c:v>
                  </c:pt>
                  <c:pt idx="139">
                    <c:v>Bengaluru</c:v>
                  </c:pt>
                  <c:pt idx="140">
                    <c:v>Kolkata</c:v>
                  </c:pt>
                  <c:pt idx="141">
                    <c:v>Mumbai</c:v>
                  </c:pt>
                  <c:pt idx="142">
                    <c:v>Delhi</c:v>
                  </c:pt>
                  <c:pt idx="143">
                    <c:v>Kolkata</c:v>
                  </c:pt>
                  <c:pt idx="144">
                    <c:v>Kolkata</c:v>
                  </c:pt>
                  <c:pt idx="145">
                    <c:v>Pune</c:v>
                  </c:pt>
                  <c:pt idx="146">
                    <c:v>Kolkata</c:v>
                  </c:pt>
                  <c:pt idx="147">
                    <c:v>Chennai</c:v>
                  </c:pt>
                  <c:pt idx="148">
                    <c:v>Chennai</c:v>
                  </c:pt>
                  <c:pt idx="149">
                    <c:v>Bengaluru</c:v>
                  </c:pt>
                  <c:pt idx="150">
                    <c:v>Pune</c:v>
                  </c:pt>
                  <c:pt idx="151">
                    <c:v>Hyderabad</c:v>
                  </c:pt>
                  <c:pt idx="152">
                    <c:v>Mumbai</c:v>
                  </c:pt>
                  <c:pt idx="153">
                    <c:v>Delhi</c:v>
                  </c:pt>
                  <c:pt idx="154">
                    <c:v>Bengaluru</c:v>
                  </c:pt>
                  <c:pt idx="155">
                    <c:v>Delhi</c:v>
                  </c:pt>
                  <c:pt idx="156">
                    <c:v>Chennai</c:v>
                  </c:pt>
                  <c:pt idx="157">
                    <c:v>Kolkata</c:v>
                  </c:pt>
                  <c:pt idx="158">
                    <c:v>Pune</c:v>
                  </c:pt>
                  <c:pt idx="159">
                    <c:v>Hyderabad</c:v>
                  </c:pt>
                  <c:pt idx="160">
                    <c:v>Chennai</c:v>
                  </c:pt>
                  <c:pt idx="161">
                    <c:v>Hyderabad</c:v>
                  </c:pt>
                  <c:pt idx="162">
                    <c:v>Kolkata</c:v>
                  </c:pt>
                  <c:pt idx="163">
                    <c:v>Bengaluru</c:v>
                  </c:pt>
                  <c:pt idx="164">
                    <c:v>Bengaluru</c:v>
                  </c:pt>
                  <c:pt idx="165">
                    <c:v>Pune</c:v>
                  </c:pt>
                  <c:pt idx="166">
                    <c:v>Chennai</c:v>
                  </c:pt>
                  <c:pt idx="167">
                    <c:v>Mumbai</c:v>
                  </c:pt>
                  <c:pt idx="168">
                    <c:v>Kolkata</c:v>
                  </c:pt>
                  <c:pt idx="169">
                    <c:v>Kolkata</c:v>
                  </c:pt>
                  <c:pt idx="170">
                    <c:v>Bengaluru</c:v>
                  </c:pt>
                  <c:pt idx="171">
                    <c:v>Mumbai</c:v>
                  </c:pt>
                  <c:pt idx="172">
                    <c:v>Hyderabad</c:v>
                  </c:pt>
                  <c:pt idx="173">
                    <c:v>Hyderabad</c:v>
                  </c:pt>
                  <c:pt idx="174">
                    <c:v>Hyderabad</c:v>
                  </c:pt>
                  <c:pt idx="175">
                    <c:v>Delhi</c:v>
                  </c:pt>
                  <c:pt idx="176">
                    <c:v>Hyderabad</c:v>
                  </c:pt>
                  <c:pt idx="177">
                    <c:v>Hyderabad</c:v>
                  </c:pt>
                  <c:pt idx="178">
                    <c:v>Mumbai</c:v>
                  </c:pt>
                  <c:pt idx="179">
                    <c:v>Mumbai</c:v>
                  </c:pt>
                  <c:pt idx="180">
                    <c:v>Delhi</c:v>
                  </c:pt>
                  <c:pt idx="181">
                    <c:v>Pune</c:v>
                  </c:pt>
                  <c:pt idx="182">
                    <c:v>Hyderabad</c:v>
                  </c:pt>
                  <c:pt idx="183">
                    <c:v>Delhi</c:v>
                  </c:pt>
                  <c:pt idx="184">
                    <c:v>Delhi</c:v>
                  </c:pt>
                  <c:pt idx="185">
                    <c:v>Hyderabad</c:v>
                  </c:pt>
                  <c:pt idx="186">
                    <c:v>Mumbai</c:v>
                  </c:pt>
                  <c:pt idx="187">
                    <c:v>Hyderabad</c:v>
                  </c:pt>
                  <c:pt idx="188">
                    <c:v>Chennai</c:v>
                  </c:pt>
                  <c:pt idx="189">
                    <c:v>Hyderabad</c:v>
                  </c:pt>
                  <c:pt idx="190">
                    <c:v>Mumbai</c:v>
                  </c:pt>
                  <c:pt idx="191">
                    <c:v>Mumbai</c:v>
                  </c:pt>
                  <c:pt idx="192">
                    <c:v>Chennai</c:v>
                  </c:pt>
                  <c:pt idx="193">
                    <c:v>Pune</c:v>
                  </c:pt>
                  <c:pt idx="194">
                    <c:v>Kolkata</c:v>
                  </c:pt>
                  <c:pt idx="195">
                    <c:v>Pune</c:v>
                  </c:pt>
                  <c:pt idx="196">
                    <c:v>Hyderabad</c:v>
                  </c:pt>
                  <c:pt idx="197">
                    <c:v>Hyderabad</c:v>
                  </c:pt>
                  <c:pt idx="198">
                    <c:v>Bengaluru</c:v>
                  </c:pt>
                  <c:pt idx="199">
                    <c:v>Chennai</c:v>
                  </c:pt>
                  <c:pt idx="200">
                    <c:v>Kolkata</c:v>
                  </c:pt>
                  <c:pt idx="201">
                    <c:v>Delhi</c:v>
                  </c:pt>
                  <c:pt idx="202">
                    <c:v>Mumbai</c:v>
                  </c:pt>
                  <c:pt idx="203">
                    <c:v>Delhi</c:v>
                  </c:pt>
                  <c:pt idx="204">
                    <c:v>Pune</c:v>
                  </c:pt>
                  <c:pt idx="205">
                    <c:v>Mumbai</c:v>
                  </c:pt>
                  <c:pt idx="206">
                    <c:v>Kolkata</c:v>
                  </c:pt>
                  <c:pt idx="207">
                    <c:v>Pune</c:v>
                  </c:pt>
                  <c:pt idx="208">
                    <c:v>Mumbai</c:v>
                  </c:pt>
                  <c:pt idx="209">
                    <c:v>Hyderabad</c:v>
                  </c:pt>
                  <c:pt idx="210">
                    <c:v>Hyderabad</c:v>
                  </c:pt>
                  <c:pt idx="211">
                    <c:v>Kolkata</c:v>
                  </c:pt>
                  <c:pt idx="212">
                    <c:v>Hyderabad</c:v>
                  </c:pt>
                  <c:pt idx="213">
                    <c:v>Kolkata</c:v>
                  </c:pt>
                  <c:pt idx="214">
                    <c:v>Hyderabad</c:v>
                  </c:pt>
                  <c:pt idx="215">
                    <c:v>Kolkata</c:v>
                  </c:pt>
                  <c:pt idx="216">
                    <c:v>Chennai</c:v>
                  </c:pt>
                  <c:pt idx="217">
                    <c:v>Delhi</c:v>
                  </c:pt>
                  <c:pt idx="218">
                    <c:v>Chennai</c:v>
                  </c:pt>
                  <c:pt idx="219">
                    <c:v>Mumbai</c:v>
                  </c:pt>
                  <c:pt idx="220">
                    <c:v>Kolkata</c:v>
                  </c:pt>
                  <c:pt idx="221">
                    <c:v>Bengaluru</c:v>
                  </c:pt>
                  <c:pt idx="222">
                    <c:v>Chennai</c:v>
                  </c:pt>
                  <c:pt idx="223">
                    <c:v>Mumbai</c:v>
                  </c:pt>
                  <c:pt idx="224">
                    <c:v>Delhi</c:v>
                  </c:pt>
                  <c:pt idx="225">
                    <c:v>Chennai</c:v>
                  </c:pt>
                  <c:pt idx="226">
                    <c:v>Kolkata</c:v>
                  </c:pt>
                  <c:pt idx="227">
                    <c:v>Chennai</c:v>
                  </c:pt>
                  <c:pt idx="228">
                    <c:v>Kolkata</c:v>
                  </c:pt>
                  <c:pt idx="229">
                    <c:v>Delhi</c:v>
                  </c:pt>
                  <c:pt idx="230">
                    <c:v>Delhi</c:v>
                  </c:pt>
                  <c:pt idx="231">
                    <c:v>Chennai</c:v>
                  </c:pt>
                  <c:pt idx="232">
                    <c:v>Bengaluru</c:v>
                  </c:pt>
                  <c:pt idx="233">
                    <c:v>Pune</c:v>
                  </c:pt>
                  <c:pt idx="234">
                    <c:v>Hyderabad</c:v>
                  </c:pt>
                  <c:pt idx="235">
                    <c:v>Kolkata</c:v>
                  </c:pt>
                  <c:pt idx="236">
                    <c:v>Bengaluru</c:v>
                  </c:pt>
                  <c:pt idx="237">
                    <c:v>Mumbai</c:v>
                  </c:pt>
                  <c:pt idx="238">
                    <c:v>Chennai</c:v>
                  </c:pt>
                  <c:pt idx="239">
                    <c:v>Kolkata</c:v>
                  </c:pt>
                  <c:pt idx="240">
                    <c:v>Chennai</c:v>
                  </c:pt>
                  <c:pt idx="241">
                    <c:v>Kolkata</c:v>
                  </c:pt>
                  <c:pt idx="242">
                    <c:v>Kolkata</c:v>
                  </c:pt>
                  <c:pt idx="243">
                    <c:v>Mumbai</c:v>
                  </c:pt>
                  <c:pt idx="244">
                    <c:v>Hyderabad</c:v>
                  </c:pt>
                  <c:pt idx="245">
                    <c:v>Kolkata</c:v>
                  </c:pt>
                  <c:pt idx="246">
                    <c:v>Chennai</c:v>
                  </c:pt>
                  <c:pt idx="247">
                    <c:v>Bengaluru</c:v>
                  </c:pt>
                  <c:pt idx="248">
                    <c:v>Pune</c:v>
                  </c:pt>
                  <c:pt idx="249">
                    <c:v>Hyderabad</c:v>
                  </c:pt>
                  <c:pt idx="250">
                    <c:v>Chennai</c:v>
                  </c:pt>
                  <c:pt idx="251">
                    <c:v>Mumbai</c:v>
                  </c:pt>
                  <c:pt idx="252">
                    <c:v>Bengaluru</c:v>
                  </c:pt>
                  <c:pt idx="253">
                    <c:v>Kolkata</c:v>
                  </c:pt>
                  <c:pt idx="254">
                    <c:v>Hyderabad</c:v>
                  </c:pt>
                  <c:pt idx="255">
                    <c:v>Mumbai</c:v>
                  </c:pt>
                  <c:pt idx="256">
                    <c:v>Delhi</c:v>
                  </c:pt>
                  <c:pt idx="257">
                    <c:v>Mumbai</c:v>
                  </c:pt>
                  <c:pt idx="258">
                    <c:v>Chennai</c:v>
                  </c:pt>
                  <c:pt idx="259">
                    <c:v>Pune</c:v>
                  </c:pt>
                  <c:pt idx="260">
                    <c:v>Hyderabad</c:v>
                  </c:pt>
                  <c:pt idx="261">
                    <c:v>Bengaluru</c:v>
                  </c:pt>
                  <c:pt idx="262">
                    <c:v>Delhi</c:v>
                  </c:pt>
                  <c:pt idx="263">
                    <c:v>Delhi</c:v>
                  </c:pt>
                  <c:pt idx="264">
                    <c:v>Kolkata</c:v>
                  </c:pt>
                  <c:pt idx="265">
                    <c:v>Hyderabad</c:v>
                  </c:pt>
                  <c:pt idx="266">
                    <c:v>Bengaluru</c:v>
                  </c:pt>
                  <c:pt idx="267">
                    <c:v>Pune</c:v>
                  </c:pt>
                  <c:pt idx="268">
                    <c:v>Delhi</c:v>
                  </c:pt>
                  <c:pt idx="269">
                    <c:v>Bengaluru</c:v>
                  </c:pt>
                  <c:pt idx="270">
                    <c:v>Mumbai</c:v>
                  </c:pt>
                  <c:pt idx="271">
                    <c:v>Bengaluru</c:v>
                  </c:pt>
                  <c:pt idx="272">
                    <c:v>Chennai</c:v>
                  </c:pt>
                  <c:pt idx="273">
                    <c:v>Hyderabad</c:v>
                  </c:pt>
                  <c:pt idx="274">
                    <c:v>Mumbai</c:v>
                  </c:pt>
                  <c:pt idx="275">
                    <c:v>Mumbai</c:v>
                  </c:pt>
                  <c:pt idx="276">
                    <c:v>Pune</c:v>
                  </c:pt>
                  <c:pt idx="277">
                    <c:v>Delhi</c:v>
                  </c:pt>
                  <c:pt idx="278">
                    <c:v>Mumbai</c:v>
                  </c:pt>
                  <c:pt idx="279">
                    <c:v>Chennai</c:v>
                  </c:pt>
                  <c:pt idx="280">
                    <c:v>Kolkata</c:v>
                  </c:pt>
                  <c:pt idx="281">
                    <c:v>Delhi</c:v>
                  </c:pt>
                  <c:pt idx="282">
                    <c:v>Kolkata</c:v>
                  </c:pt>
                  <c:pt idx="283">
                    <c:v>Bengaluru</c:v>
                  </c:pt>
                  <c:pt idx="284">
                    <c:v>Hyderabad</c:v>
                  </c:pt>
                  <c:pt idx="285">
                    <c:v>Kolkata</c:v>
                  </c:pt>
                  <c:pt idx="286">
                    <c:v>Pune</c:v>
                  </c:pt>
                  <c:pt idx="287">
                    <c:v>Bengaluru</c:v>
                  </c:pt>
                  <c:pt idx="288">
                    <c:v>Bengaluru</c:v>
                  </c:pt>
                  <c:pt idx="289">
                    <c:v>Delhi</c:v>
                  </c:pt>
                  <c:pt idx="290">
                    <c:v>Delhi</c:v>
                  </c:pt>
                  <c:pt idx="291">
                    <c:v>Pune</c:v>
                  </c:pt>
                  <c:pt idx="292">
                    <c:v>Bengaluru</c:v>
                  </c:pt>
                  <c:pt idx="293">
                    <c:v>Hyderabad</c:v>
                  </c:pt>
                  <c:pt idx="294">
                    <c:v>Delhi</c:v>
                  </c:pt>
                  <c:pt idx="295">
                    <c:v>Delhi</c:v>
                  </c:pt>
                  <c:pt idx="296">
                    <c:v>Chennai</c:v>
                  </c:pt>
                  <c:pt idx="297">
                    <c:v>Kolkata</c:v>
                  </c:pt>
                  <c:pt idx="298">
                    <c:v>Delhi</c:v>
                  </c:pt>
                  <c:pt idx="299">
                    <c:v>Chennai</c:v>
                  </c:pt>
                </c:lvl>
                <c:lvl>
                  <c:pt idx="0">
                    <c:v>Electronics</c:v>
                  </c:pt>
                  <c:pt idx="1">
                    <c:v>Fashion</c:v>
                  </c:pt>
                  <c:pt idx="2">
                    <c:v>Electronics</c:v>
                  </c:pt>
                  <c:pt idx="3">
                    <c:v>Fashion</c:v>
                  </c:pt>
                  <c:pt idx="4">
                    <c:v>Grocery</c:v>
                  </c:pt>
                  <c:pt idx="5">
                    <c:v>Grocery</c:v>
                  </c:pt>
                  <c:pt idx="6">
                    <c:v>Home &amp; Kitchen</c:v>
                  </c:pt>
                  <c:pt idx="7">
                    <c:v>Electronics</c:v>
                  </c:pt>
                  <c:pt idx="8">
                    <c:v>Electronics</c:v>
                  </c:pt>
                  <c:pt idx="9">
                    <c:v>Electronics</c:v>
                  </c:pt>
                  <c:pt idx="10">
                    <c:v>Electronics</c:v>
                  </c:pt>
                  <c:pt idx="11">
                    <c:v>Home &amp; Kitchen</c:v>
                  </c:pt>
                  <c:pt idx="12">
                    <c:v>Grocery</c:v>
                  </c:pt>
                  <c:pt idx="13">
                    <c:v>Electronics</c:v>
                  </c:pt>
                  <c:pt idx="14">
                    <c:v>Home &amp; Kitchen</c:v>
                  </c:pt>
                  <c:pt idx="15">
                    <c:v>Fashion</c:v>
                  </c:pt>
                  <c:pt idx="16">
                    <c:v>Home &amp; Kitchen</c:v>
                  </c:pt>
                  <c:pt idx="17">
                    <c:v>Fashion</c:v>
                  </c:pt>
                  <c:pt idx="18">
                    <c:v>Beauty</c:v>
                  </c:pt>
                  <c:pt idx="19">
                    <c:v>Grocery</c:v>
                  </c:pt>
                  <c:pt idx="20">
                    <c:v>Electronics</c:v>
                  </c:pt>
                  <c:pt idx="21">
                    <c:v>Beauty</c:v>
                  </c:pt>
                  <c:pt idx="22">
                    <c:v>Home &amp; Kitchen</c:v>
                  </c:pt>
                  <c:pt idx="23">
                    <c:v>Fashion</c:v>
                  </c:pt>
                  <c:pt idx="24">
                    <c:v>Fashion</c:v>
                  </c:pt>
                  <c:pt idx="25">
                    <c:v>Grocery</c:v>
                  </c:pt>
                  <c:pt idx="26">
                    <c:v>Grocery</c:v>
                  </c:pt>
                  <c:pt idx="27">
                    <c:v>Electronics</c:v>
                  </c:pt>
                  <c:pt idx="28">
                    <c:v>Fashion</c:v>
                  </c:pt>
                  <c:pt idx="29">
                    <c:v>Home &amp; Kitchen</c:v>
                  </c:pt>
                  <c:pt idx="30">
                    <c:v>Grocery</c:v>
                  </c:pt>
                  <c:pt idx="31">
                    <c:v>Beauty</c:v>
                  </c:pt>
                  <c:pt idx="32">
                    <c:v>Home &amp; Kitchen</c:v>
                  </c:pt>
                  <c:pt idx="33">
                    <c:v>Beauty</c:v>
                  </c:pt>
                  <c:pt idx="34">
                    <c:v>Beauty</c:v>
                  </c:pt>
                  <c:pt idx="35">
                    <c:v>Grocery</c:v>
                  </c:pt>
                  <c:pt idx="36">
                    <c:v>Beauty</c:v>
                  </c:pt>
                  <c:pt idx="37">
                    <c:v>Beauty</c:v>
                  </c:pt>
                  <c:pt idx="38">
                    <c:v>Beauty</c:v>
                  </c:pt>
                  <c:pt idx="39">
                    <c:v>Home &amp; Kitchen</c:v>
                  </c:pt>
                  <c:pt idx="40">
                    <c:v>Electronics</c:v>
                  </c:pt>
                  <c:pt idx="41">
                    <c:v>Grocery</c:v>
                  </c:pt>
                  <c:pt idx="42">
                    <c:v>Grocery</c:v>
                  </c:pt>
                  <c:pt idx="43">
                    <c:v>Grocery</c:v>
                  </c:pt>
                  <c:pt idx="44">
                    <c:v>Grocery</c:v>
                  </c:pt>
                  <c:pt idx="45">
                    <c:v>Grocery</c:v>
                  </c:pt>
                  <c:pt idx="46">
                    <c:v>Electronics</c:v>
                  </c:pt>
                  <c:pt idx="47">
                    <c:v>Grocery</c:v>
                  </c:pt>
                  <c:pt idx="48">
                    <c:v>Grocery</c:v>
                  </c:pt>
                  <c:pt idx="49">
                    <c:v>Electronics</c:v>
                  </c:pt>
                  <c:pt idx="50">
                    <c:v>Beauty</c:v>
                  </c:pt>
                  <c:pt idx="51">
                    <c:v>Grocery</c:v>
                  </c:pt>
                  <c:pt idx="52">
                    <c:v>Fashion</c:v>
                  </c:pt>
                  <c:pt idx="53">
                    <c:v>Beauty</c:v>
                  </c:pt>
                  <c:pt idx="54">
                    <c:v>Home &amp; Kitchen</c:v>
                  </c:pt>
                  <c:pt idx="55">
                    <c:v>Beauty</c:v>
                  </c:pt>
                  <c:pt idx="56">
                    <c:v>Home &amp; Kitchen</c:v>
                  </c:pt>
                  <c:pt idx="57">
                    <c:v>Grocery</c:v>
                  </c:pt>
                  <c:pt idx="58">
                    <c:v>Home &amp; Kitchen</c:v>
                  </c:pt>
                  <c:pt idx="59">
                    <c:v>Beauty</c:v>
                  </c:pt>
                  <c:pt idx="60">
                    <c:v>Grocery</c:v>
                  </c:pt>
                  <c:pt idx="61">
                    <c:v>Beauty</c:v>
                  </c:pt>
                  <c:pt idx="62">
                    <c:v>Home &amp; Kitchen</c:v>
                  </c:pt>
                  <c:pt idx="63">
                    <c:v>Electronics</c:v>
                  </c:pt>
                  <c:pt idx="64">
                    <c:v>Home &amp; Kitchen</c:v>
                  </c:pt>
                  <c:pt idx="65">
                    <c:v>Beauty</c:v>
                  </c:pt>
                  <c:pt idx="66">
                    <c:v>Grocery</c:v>
                  </c:pt>
                  <c:pt idx="67">
                    <c:v>Fashion</c:v>
                  </c:pt>
                  <c:pt idx="68">
                    <c:v>Electronics</c:v>
                  </c:pt>
                  <c:pt idx="69">
                    <c:v>Grocery</c:v>
                  </c:pt>
                  <c:pt idx="70">
                    <c:v>Grocery</c:v>
                  </c:pt>
                  <c:pt idx="71">
                    <c:v>Grocery</c:v>
                  </c:pt>
                  <c:pt idx="72">
                    <c:v>Grocery</c:v>
                  </c:pt>
                  <c:pt idx="73">
                    <c:v>Grocery</c:v>
                  </c:pt>
                  <c:pt idx="74">
                    <c:v>Home &amp; Kitchen</c:v>
                  </c:pt>
                  <c:pt idx="75">
                    <c:v>Beauty</c:v>
                  </c:pt>
                  <c:pt idx="76">
                    <c:v>Grocery</c:v>
                  </c:pt>
                  <c:pt idx="77">
                    <c:v>Electronics</c:v>
                  </c:pt>
                  <c:pt idx="78">
                    <c:v>Beauty</c:v>
                  </c:pt>
                  <c:pt idx="79">
                    <c:v>Electronics</c:v>
                  </c:pt>
                  <c:pt idx="80">
                    <c:v>Home &amp; Kitchen</c:v>
                  </c:pt>
                  <c:pt idx="81">
                    <c:v>Beauty</c:v>
                  </c:pt>
                  <c:pt idx="82">
                    <c:v>Fashion</c:v>
                  </c:pt>
                  <c:pt idx="83">
                    <c:v>Electronics</c:v>
                  </c:pt>
                  <c:pt idx="84">
                    <c:v>Grocery</c:v>
                  </c:pt>
                  <c:pt idx="85">
                    <c:v>Electronics</c:v>
                  </c:pt>
                  <c:pt idx="86">
                    <c:v>Fashion</c:v>
                  </c:pt>
                  <c:pt idx="87">
                    <c:v>Home &amp; Kitchen</c:v>
                  </c:pt>
                  <c:pt idx="88">
                    <c:v>Electronics</c:v>
                  </c:pt>
                  <c:pt idx="89">
                    <c:v>Grocery</c:v>
                  </c:pt>
                  <c:pt idx="90">
                    <c:v>Home &amp; Kitchen</c:v>
                  </c:pt>
                  <c:pt idx="91">
                    <c:v>Beauty</c:v>
                  </c:pt>
                  <c:pt idx="92">
                    <c:v>Home &amp; Kitchen</c:v>
                  </c:pt>
                  <c:pt idx="93">
                    <c:v>Fashion</c:v>
                  </c:pt>
                  <c:pt idx="94">
                    <c:v>Beauty</c:v>
                  </c:pt>
                  <c:pt idx="95">
                    <c:v>Electronics</c:v>
                  </c:pt>
                  <c:pt idx="96">
                    <c:v>Beauty</c:v>
                  </c:pt>
                  <c:pt idx="97">
                    <c:v>Electronics</c:v>
                  </c:pt>
                  <c:pt idx="98">
                    <c:v>Beauty</c:v>
                  </c:pt>
                  <c:pt idx="99">
                    <c:v>Home &amp; Kitchen</c:v>
                  </c:pt>
                  <c:pt idx="100">
                    <c:v>Home &amp; Kitchen</c:v>
                  </c:pt>
                  <c:pt idx="101">
                    <c:v>Beauty</c:v>
                  </c:pt>
                  <c:pt idx="102">
                    <c:v>Home &amp; Kitchen</c:v>
                  </c:pt>
                  <c:pt idx="103">
                    <c:v>Grocery</c:v>
                  </c:pt>
                  <c:pt idx="104">
                    <c:v>Electronics</c:v>
                  </c:pt>
                  <c:pt idx="105">
                    <c:v>Electronics</c:v>
                  </c:pt>
                  <c:pt idx="106">
                    <c:v>Electronics</c:v>
                  </c:pt>
                  <c:pt idx="107">
                    <c:v>Home &amp; Kitchen</c:v>
                  </c:pt>
                  <c:pt idx="108">
                    <c:v>Beauty</c:v>
                  </c:pt>
                  <c:pt idx="109">
                    <c:v>Beauty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Electronics</c:v>
                  </c:pt>
                  <c:pt idx="113">
                    <c:v>Home &amp; Kitchen</c:v>
                  </c:pt>
                  <c:pt idx="114">
                    <c:v>Beauty</c:v>
                  </c:pt>
                  <c:pt idx="115">
                    <c:v>Home &amp; Kitchen</c:v>
                  </c:pt>
                  <c:pt idx="116">
                    <c:v>Electronics</c:v>
                  </c:pt>
                  <c:pt idx="117">
                    <c:v>Fashion</c:v>
                  </c:pt>
                  <c:pt idx="118">
                    <c:v>Fashion</c:v>
                  </c:pt>
                  <c:pt idx="119">
                    <c:v>Fashion</c:v>
                  </c:pt>
                  <c:pt idx="120">
                    <c:v>Fashion</c:v>
                  </c:pt>
                  <c:pt idx="121">
                    <c:v>Fashion</c:v>
                  </c:pt>
                  <c:pt idx="122">
                    <c:v>Fashion</c:v>
                  </c:pt>
                  <c:pt idx="123">
                    <c:v>Beauty</c:v>
                  </c:pt>
                  <c:pt idx="124">
                    <c:v>Fashion</c:v>
                  </c:pt>
                  <c:pt idx="125">
                    <c:v>Home &amp; Kitchen</c:v>
                  </c:pt>
                  <c:pt idx="126">
                    <c:v>Beauty</c:v>
                  </c:pt>
                  <c:pt idx="127">
                    <c:v>Grocery</c:v>
                  </c:pt>
                  <c:pt idx="128">
                    <c:v>Grocery</c:v>
                  </c:pt>
                  <c:pt idx="129">
                    <c:v>Home &amp; Kitchen</c:v>
                  </c:pt>
                  <c:pt idx="130">
                    <c:v>Fashion</c:v>
                  </c:pt>
                  <c:pt idx="131">
                    <c:v>Home &amp; Kitchen</c:v>
                  </c:pt>
                  <c:pt idx="132">
                    <c:v>Home &amp; Kitchen</c:v>
                  </c:pt>
                  <c:pt idx="133">
                    <c:v>Grocery</c:v>
                  </c:pt>
                  <c:pt idx="134">
                    <c:v>Beauty</c:v>
                  </c:pt>
                  <c:pt idx="135">
                    <c:v>Fashion</c:v>
                  </c:pt>
                  <c:pt idx="136">
                    <c:v>Grocery</c:v>
                  </c:pt>
                  <c:pt idx="137">
                    <c:v>Beauty</c:v>
                  </c:pt>
                  <c:pt idx="138">
                    <c:v>Electronics</c:v>
                  </c:pt>
                  <c:pt idx="139">
                    <c:v>Fashion</c:v>
                  </c:pt>
                  <c:pt idx="140">
                    <c:v>Fashion</c:v>
                  </c:pt>
                  <c:pt idx="141">
                    <c:v>Home &amp; Kitchen</c:v>
                  </c:pt>
                  <c:pt idx="142">
                    <c:v>Home &amp; Kitchen</c:v>
                  </c:pt>
                  <c:pt idx="143">
                    <c:v>Home &amp; Kitchen</c:v>
                  </c:pt>
                  <c:pt idx="144">
                    <c:v>Home &amp; Kitchen</c:v>
                  </c:pt>
                  <c:pt idx="145">
                    <c:v>Grocery</c:v>
                  </c:pt>
                  <c:pt idx="146">
                    <c:v>Beauty</c:v>
                  </c:pt>
                  <c:pt idx="147">
                    <c:v>Beauty</c:v>
                  </c:pt>
                  <c:pt idx="148">
                    <c:v>Fashion</c:v>
                  </c:pt>
                  <c:pt idx="149">
                    <c:v>Electronics</c:v>
                  </c:pt>
                  <c:pt idx="150">
                    <c:v>Electronics</c:v>
                  </c:pt>
                  <c:pt idx="151">
                    <c:v>Beauty</c:v>
                  </c:pt>
                  <c:pt idx="152">
                    <c:v>Electronics</c:v>
                  </c:pt>
                  <c:pt idx="153">
                    <c:v>Beauty</c:v>
                  </c:pt>
                  <c:pt idx="154">
                    <c:v>Grocery</c:v>
                  </c:pt>
                  <c:pt idx="155">
                    <c:v>Fashion</c:v>
                  </c:pt>
                  <c:pt idx="156">
                    <c:v>Beauty</c:v>
                  </c:pt>
                  <c:pt idx="157">
                    <c:v>Electronics</c:v>
                  </c:pt>
                  <c:pt idx="158">
                    <c:v>Electronics</c:v>
                  </c:pt>
                  <c:pt idx="159">
                    <c:v>Beauty</c:v>
                  </c:pt>
                  <c:pt idx="160">
                    <c:v>Grocery</c:v>
                  </c:pt>
                  <c:pt idx="161">
                    <c:v>Home &amp; Kitchen</c:v>
                  </c:pt>
                  <c:pt idx="162">
                    <c:v>Electronics</c:v>
                  </c:pt>
                  <c:pt idx="163">
                    <c:v>Home &amp; Kitchen</c:v>
                  </c:pt>
                  <c:pt idx="164">
                    <c:v>Electronics</c:v>
                  </c:pt>
                  <c:pt idx="165">
                    <c:v>Electronics</c:v>
                  </c:pt>
                  <c:pt idx="166">
                    <c:v>Electronics</c:v>
                  </c:pt>
                  <c:pt idx="167">
                    <c:v>Electronics</c:v>
                  </c:pt>
                  <c:pt idx="168">
                    <c:v>Fashion</c:v>
                  </c:pt>
                  <c:pt idx="169">
                    <c:v>Grocery</c:v>
                  </c:pt>
                  <c:pt idx="170">
                    <c:v>Electronics</c:v>
                  </c:pt>
                  <c:pt idx="171">
                    <c:v>Electronics</c:v>
                  </c:pt>
                  <c:pt idx="172">
                    <c:v>Grocery</c:v>
                  </c:pt>
                  <c:pt idx="173">
                    <c:v>Grocery</c:v>
                  </c:pt>
                  <c:pt idx="174">
                    <c:v>Beauty</c:v>
                  </c:pt>
                  <c:pt idx="175">
                    <c:v>Fashion</c:v>
                  </c:pt>
                  <c:pt idx="176">
                    <c:v>Fashion</c:v>
                  </c:pt>
                  <c:pt idx="177">
                    <c:v>Beauty</c:v>
                  </c:pt>
                  <c:pt idx="178">
                    <c:v>Grocery</c:v>
                  </c:pt>
                  <c:pt idx="179">
                    <c:v>Beauty</c:v>
                  </c:pt>
                  <c:pt idx="180">
                    <c:v>Fashion</c:v>
                  </c:pt>
                  <c:pt idx="181">
                    <c:v>Electronics</c:v>
                  </c:pt>
                  <c:pt idx="182">
                    <c:v>Home &amp; Kitchen</c:v>
                  </c:pt>
                  <c:pt idx="183">
                    <c:v>Fashion</c:v>
                  </c:pt>
                  <c:pt idx="184">
                    <c:v>Grocery</c:v>
                  </c:pt>
                  <c:pt idx="185">
                    <c:v>Home &amp; Kitchen</c:v>
                  </c:pt>
                  <c:pt idx="186">
                    <c:v>Fashion</c:v>
                  </c:pt>
                  <c:pt idx="187">
                    <c:v>Home &amp; Kitchen</c:v>
                  </c:pt>
                  <c:pt idx="188">
                    <c:v>Home &amp; Kitchen</c:v>
                  </c:pt>
                  <c:pt idx="189">
                    <c:v>Electronics</c:v>
                  </c:pt>
                  <c:pt idx="190">
                    <c:v>Home &amp; Kitchen</c:v>
                  </c:pt>
                  <c:pt idx="191">
                    <c:v>Electronics</c:v>
                  </c:pt>
                  <c:pt idx="192">
                    <c:v>Fashion</c:v>
                  </c:pt>
                  <c:pt idx="193">
                    <c:v>Home &amp; Kitchen</c:v>
                  </c:pt>
                  <c:pt idx="194">
                    <c:v>Home &amp; Kitchen</c:v>
                  </c:pt>
                  <c:pt idx="195">
                    <c:v>Fashion</c:v>
                  </c:pt>
                  <c:pt idx="196">
                    <c:v>Fashion</c:v>
                  </c:pt>
                  <c:pt idx="197">
                    <c:v>Fashion</c:v>
                  </c:pt>
                  <c:pt idx="198">
                    <c:v>Fashion</c:v>
                  </c:pt>
                  <c:pt idx="199">
                    <c:v>Electronics</c:v>
                  </c:pt>
                  <c:pt idx="200">
                    <c:v>Electronics</c:v>
                  </c:pt>
                  <c:pt idx="201">
                    <c:v>Grocery</c:v>
                  </c:pt>
                  <c:pt idx="202">
                    <c:v>Grocery</c:v>
                  </c:pt>
                  <c:pt idx="203">
                    <c:v>Electronics</c:v>
                  </c:pt>
                  <c:pt idx="204">
                    <c:v>Home &amp; Kitchen</c:v>
                  </c:pt>
                  <c:pt idx="205">
                    <c:v>Electronics</c:v>
                  </c:pt>
                  <c:pt idx="206">
                    <c:v>Grocery</c:v>
                  </c:pt>
                  <c:pt idx="207">
                    <c:v>Beauty</c:v>
                  </c:pt>
                  <c:pt idx="208">
                    <c:v>Home &amp; Kitchen</c:v>
                  </c:pt>
                  <c:pt idx="209">
                    <c:v>Electronics</c:v>
                  </c:pt>
                  <c:pt idx="210">
                    <c:v>Beauty</c:v>
                  </c:pt>
                  <c:pt idx="211">
                    <c:v>Home &amp; Kitchen</c:v>
                  </c:pt>
                  <c:pt idx="212">
                    <c:v>Beauty</c:v>
                  </c:pt>
                  <c:pt idx="213">
                    <c:v>Grocery</c:v>
                  </c:pt>
                  <c:pt idx="214">
                    <c:v>Home &amp; Kitchen</c:v>
                  </c:pt>
                  <c:pt idx="215">
                    <c:v>Fashion</c:v>
                  </c:pt>
                  <c:pt idx="216">
                    <c:v>Home &amp; Kitchen</c:v>
                  </c:pt>
                  <c:pt idx="217">
                    <c:v>Beauty</c:v>
                  </c:pt>
                  <c:pt idx="218">
                    <c:v>Fashion</c:v>
                  </c:pt>
                  <c:pt idx="219">
                    <c:v>Beauty</c:v>
                  </c:pt>
                  <c:pt idx="220">
                    <c:v>Beauty</c:v>
                  </c:pt>
                  <c:pt idx="221">
                    <c:v>Grocery</c:v>
                  </c:pt>
                  <c:pt idx="222">
                    <c:v>Fashion</c:v>
                  </c:pt>
                  <c:pt idx="223">
                    <c:v>Beauty</c:v>
                  </c:pt>
                  <c:pt idx="224">
                    <c:v>Fashion</c:v>
                  </c:pt>
                  <c:pt idx="225">
                    <c:v>Home &amp; Kitchen</c:v>
                  </c:pt>
                  <c:pt idx="226">
                    <c:v>Beauty</c:v>
                  </c:pt>
                  <c:pt idx="227">
                    <c:v>Fashion</c:v>
                  </c:pt>
                  <c:pt idx="228">
                    <c:v>Electronics</c:v>
                  </c:pt>
                  <c:pt idx="229">
                    <c:v>Home &amp; Kitchen</c:v>
                  </c:pt>
                  <c:pt idx="230">
                    <c:v>Electronics</c:v>
                  </c:pt>
                  <c:pt idx="231">
                    <c:v>Fashion</c:v>
                  </c:pt>
                  <c:pt idx="232">
                    <c:v>Fashion</c:v>
                  </c:pt>
                  <c:pt idx="233">
                    <c:v>Fashion</c:v>
                  </c:pt>
                  <c:pt idx="234">
                    <c:v>Grocery</c:v>
                  </c:pt>
                  <c:pt idx="235">
                    <c:v>Home &amp; Kitchen</c:v>
                  </c:pt>
                  <c:pt idx="236">
                    <c:v>Grocery</c:v>
                  </c:pt>
                  <c:pt idx="237">
                    <c:v>Fashion</c:v>
                  </c:pt>
                  <c:pt idx="238">
                    <c:v>Home &amp; Kitchen</c:v>
                  </c:pt>
                  <c:pt idx="239">
                    <c:v>Beauty</c:v>
                  </c:pt>
                  <c:pt idx="240">
                    <c:v>Fashion</c:v>
                  </c:pt>
                  <c:pt idx="241">
                    <c:v>Electronics</c:v>
                  </c:pt>
                  <c:pt idx="242">
                    <c:v>Home &amp; Kitchen</c:v>
                  </c:pt>
                  <c:pt idx="243">
                    <c:v>Electronics</c:v>
                  </c:pt>
                  <c:pt idx="244">
                    <c:v>Grocery</c:v>
                  </c:pt>
                  <c:pt idx="245">
                    <c:v>Fashion</c:v>
                  </c:pt>
                  <c:pt idx="246">
                    <c:v>Fashion</c:v>
                  </c:pt>
                  <c:pt idx="247">
                    <c:v>Beauty</c:v>
                  </c:pt>
                  <c:pt idx="248">
                    <c:v>Grocery</c:v>
                  </c:pt>
                  <c:pt idx="249">
                    <c:v>Grocery</c:v>
                  </c:pt>
                  <c:pt idx="250">
                    <c:v>Grocery</c:v>
                  </c:pt>
                  <c:pt idx="251">
                    <c:v>Electronics</c:v>
                  </c:pt>
                  <c:pt idx="252">
                    <c:v>Beauty</c:v>
                  </c:pt>
                  <c:pt idx="253">
                    <c:v>Grocery</c:v>
                  </c:pt>
                  <c:pt idx="254">
                    <c:v>Fashion</c:v>
                  </c:pt>
                  <c:pt idx="255">
                    <c:v>Beauty</c:v>
                  </c:pt>
                  <c:pt idx="256">
                    <c:v>Grocery</c:v>
                  </c:pt>
                  <c:pt idx="257">
                    <c:v>Fashion</c:v>
                  </c:pt>
                  <c:pt idx="258">
                    <c:v>Electronics</c:v>
                  </c:pt>
                  <c:pt idx="259">
                    <c:v>Home &amp; Kitchen</c:v>
                  </c:pt>
                  <c:pt idx="260">
                    <c:v>Electronics</c:v>
                  </c:pt>
                  <c:pt idx="261">
                    <c:v>Electronics</c:v>
                  </c:pt>
                  <c:pt idx="262">
                    <c:v>Grocery</c:v>
                  </c:pt>
                  <c:pt idx="263">
                    <c:v>Fashion</c:v>
                  </c:pt>
                  <c:pt idx="264">
                    <c:v>Home &amp; Kitchen</c:v>
                  </c:pt>
                  <c:pt idx="265">
                    <c:v>Beauty</c:v>
                  </c:pt>
                  <c:pt idx="266">
                    <c:v>Grocery</c:v>
                  </c:pt>
                  <c:pt idx="267">
                    <c:v>Grocery</c:v>
                  </c:pt>
                  <c:pt idx="268">
                    <c:v>Home &amp; Kitchen</c:v>
                  </c:pt>
                  <c:pt idx="269">
                    <c:v>Grocery</c:v>
                  </c:pt>
                  <c:pt idx="270">
                    <c:v>Beauty</c:v>
                  </c:pt>
                  <c:pt idx="271">
                    <c:v>Fashion</c:v>
                  </c:pt>
                  <c:pt idx="272">
                    <c:v>Grocery</c:v>
                  </c:pt>
                  <c:pt idx="273">
                    <c:v>Home &amp; Kitchen</c:v>
                  </c:pt>
                  <c:pt idx="274">
                    <c:v>Beauty</c:v>
                  </c:pt>
                  <c:pt idx="275">
                    <c:v>Fashion</c:v>
                  </c:pt>
                  <c:pt idx="276">
                    <c:v>Grocery</c:v>
                  </c:pt>
                  <c:pt idx="277">
                    <c:v>Beauty</c:v>
                  </c:pt>
                  <c:pt idx="278">
                    <c:v>Grocery</c:v>
                  </c:pt>
                  <c:pt idx="279">
                    <c:v>Fashion</c:v>
                  </c:pt>
                  <c:pt idx="280">
                    <c:v>Grocery</c:v>
                  </c:pt>
                  <c:pt idx="281">
                    <c:v>Beauty</c:v>
                  </c:pt>
                  <c:pt idx="282">
                    <c:v>Beauty</c:v>
                  </c:pt>
                  <c:pt idx="283">
                    <c:v>Home &amp; Kitchen</c:v>
                  </c:pt>
                  <c:pt idx="284">
                    <c:v>Grocery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Grocery</c:v>
                  </c:pt>
                  <c:pt idx="288">
                    <c:v>Grocery</c:v>
                  </c:pt>
                  <c:pt idx="289">
                    <c:v>Electronics</c:v>
                  </c:pt>
                  <c:pt idx="290">
                    <c:v>Fashion</c:v>
                  </c:pt>
                  <c:pt idx="291">
                    <c:v>Home &amp; Kitchen</c:v>
                  </c:pt>
                  <c:pt idx="292">
                    <c:v>Beauty</c:v>
                  </c:pt>
                  <c:pt idx="293">
                    <c:v>Home &amp; Kitchen</c:v>
                  </c:pt>
                  <c:pt idx="294">
                    <c:v>Home &amp; Kitchen</c:v>
                  </c:pt>
                  <c:pt idx="295">
                    <c:v>Fashion</c:v>
                  </c:pt>
                  <c:pt idx="296">
                    <c:v>Grocery</c:v>
                  </c:pt>
                  <c:pt idx="297">
                    <c:v>Fashion</c:v>
                  </c:pt>
                  <c:pt idx="298">
                    <c:v>Electronics</c:v>
                  </c:pt>
                  <c:pt idx="299">
                    <c:v>Grocery</c:v>
                  </c:pt>
                </c:lvl>
                <c:lvl>
                  <c:pt idx="0">
                    <c:v>27-Aug-2026</c:v>
                  </c:pt>
                  <c:pt idx="1">
                    <c:v>25-Aug-2026</c:v>
                  </c:pt>
                  <c:pt idx="2">
                    <c:v>06-Sep-2026</c:v>
                  </c:pt>
                  <c:pt idx="3">
                    <c:v>24-Aug-2026</c:v>
                  </c:pt>
                  <c:pt idx="4">
                    <c:v>15-Aug-2026</c:v>
                  </c:pt>
                  <c:pt idx="5">
                    <c:v>26-Aug-2026</c:v>
                  </c:pt>
                  <c:pt idx="6">
                    <c:v>18-Sep-2026</c:v>
                  </c:pt>
                  <c:pt idx="7">
                    <c:v>01-Aug-2026</c:v>
                  </c:pt>
                  <c:pt idx="8">
                    <c:v>02-Sep-2026</c:v>
                  </c:pt>
                  <c:pt idx="9">
                    <c:v>01-Sep-2026</c:v>
                  </c:pt>
                  <c:pt idx="10">
                    <c:v>09-Aug-2026</c:v>
                  </c:pt>
                  <c:pt idx="11">
                    <c:v>12-Sep-2026</c:v>
                  </c:pt>
                  <c:pt idx="12">
                    <c:v>22-Aug-2026</c:v>
                  </c:pt>
                  <c:pt idx="13">
                    <c:v>23-Aug-2026</c:v>
                  </c:pt>
                  <c:pt idx="14">
                    <c:v>30-Aug-2026</c:v>
                  </c:pt>
                  <c:pt idx="15">
                    <c:v>27-Aug-2026</c:v>
                  </c:pt>
                  <c:pt idx="16">
                    <c:v>10-Aug-2026</c:v>
                  </c:pt>
                  <c:pt idx="17">
                    <c:v>04-Aug-2026</c:v>
                  </c:pt>
                  <c:pt idx="18">
                    <c:v>03-Sep-2026</c:v>
                  </c:pt>
                  <c:pt idx="19">
                    <c:v>06-Sep-2026</c:v>
                  </c:pt>
                  <c:pt idx="20">
                    <c:v>01-Aug-2026</c:v>
                  </c:pt>
                  <c:pt idx="21">
                    <c:v>02-Sep-2026</c:v>
                  </c:pt>
                  <c:pt idx="22">
                    <c:v>05-Aug-2026</c:v>
                  </c:pt>
                  <c:pt idx="23">
                    <c:v>14-Aug-2026</c:v>
                  </c:pt>
                  <c:pt idx="24">
                    <c:v>12-Aug-2026</c:v>
                  </c:pt>
                  <c:pt idx="25">
                    <c:v>23-Aug-2026</c:v>
                  </c:pt>
                  <c:pt idx="26">
                    <c:v>02-Aug-2026</c:v>
                  </c:pt>
                  <c:pt idx="27">
                    <c:v>06-Sep-2026</c:v>
                  </c:pt>
                  <c:pt idx="28">
                    <c:v>20-Aug-2026</c:v>
                  </c:pt>
                  <c:pt idx="29">
                    <c:v>01-Aug-2026</c:v>
                  </c:pt>
                  <c:pt idx="30">
                    <c:v>19-Aug-2026</c:v>
                  </c:pt>
                  <c:pt idx="31">
                    <c:v>30-Aug-2026</c:v>
                  </c:pt>
                  <c:pt idx="32">
                    <c:v>12-Aug-2026</c:v>
                  </c:pt>
                  <c:pt idx="33">
                    <c:v>09-Sep-2026</c:v>
                  </c:pt>
                  <c:pt idx="34">
                    <c:v>15-Sep-2026</c:v>
                  </c:pt>
                  <c:pt idx="35">
                    <c:v>22-Aug-2026</c:v>
                  </c:pt>
                  <c:pt idx="36">
                    <c:v>04-Sep-2026</c:v>
                  </c:pt>
                  <c:pt idx="37">
                    <c:v>09-Aug-2026</c:v>
                  </c:pt>
                  <c:pt idx="38">
                    <c:v>18-Sep-2026</c:v>
                  </c:pt>
                  <c:pt idx="39">
                    <c:v>18-Sep-2026</c:v>
                  </c:pt>
                  <c:pt idx="40">
                    <c:v>11-Aug-2026</c:v>
                  </c:pt>
                  <c:pt idx="41">
                    <c:v>07-Aug-2026</c:v>
                  </c:pt>
                  <c:pt idx="42">
                    <c:v>28-Aug-2026</c:v>
                  </c:pt>
                  <c:pt idx="43">
                    <c:v>18-Aug-2026</c:v>
                  </c:pt>
                  <c:pt idx="44">
                    <c:v>17-Aug-2026</c:v>
                  </c:pt>
                  <c:pt idx="45">
                    <c:v>29-Aug-2026</c:v>
                  </c:pt>
                  <c:pt idx="46">
                    <c:v>20-Aug-2026</c:v>
                  </c:pt>
                  <c:pt idx="47">
                    <c:v>08-Sep-2026</c:v>
                  </c:pt>
                  <c:pt idx="48">
                    <c:v>07-Aug-2026</c:v>
                  </c:pt>
                  <c:pt idx="49">
                    <c:v>05-Aug-2026</c:v>
                  </c:pt>
                  <c:pt idx="50">
                    <c:v>29-Aug-2026</c:v>
                  </c:pt>
                  <c:pt idx="51">
                    <c:v>16-Aug-2026</c:v>
                  </c:pt>
                  <c:pt idx="52">
                    <c:v>10-Sep-2026</c:v>
                  </c:pt>
                  <c:pt idx="53">
                    <c:v>19-Aug-2026</c:v>
                  </c:pt>
                  <c:pt idx="54">
                    <c:v>15-Aug-2026</c:v>
                  </c:pt>
                  <c:pt idx="55">
                    <c:v>28-Aug-2026</c:v>
                  </c:pt>
                  <c:pt idx="56">
                    <c:v>06-Aug-2026</c:v>
                  </c:pt>
                  <c:pt idx="57">
                    <c:v>09-Sep-2026</c:v>
                  </c:pt>
                  <c:pt idx="58">
                    <c:v>20-Aug-2026</c:v>
                  </c:pt>
                  <c:pt idx="59">
                    <c:v>02-Sep-2026</c:v>
                  </c:pt>
                  <c:pt idx="60">
                    <c:v>22-Aug-2026</c:v>
                  </c:pt>
                  <c:pt idx="61">
                    <c:v>25-Aug-2026</c:v>
                  </c:pt>
                  <c:pt idx="62">
                    <c:v>01-Sep-2026</c:v>
                  </c:pt>
                  <c:pt idx="63">
                    <c:v>05-Aug-2026</c:v>
                  </c:pt>
                  <c:pt idx="64">
                    <c:v>03-Aug-2026</c:v>
                  </c:pt>
                  <c:pt idx="65">
                    <c:v>14-Sep-2026</c:v>
                  </c:pt>
                  <c:pt idx="66">
                    <c:v>09-Sep-2026</c:v>
                  </c:pt>
                  <c:pt idx="67">
                    <c:v>11-Aug-2026</c:v>
                  </c:pt>
                  <c:pt idx="68">
                    <c:v>14-Sep-2026</c:v>
                  </c:pt>
                  <c:pt idx="69">
                    <c:v>08-Sep-2026</c:v>
                  </c:pt>
                  <c:pt idx="70">
                    <c:v>19-Aug-2026</c:v>
                  </c:pt>
                  <c:pt idx="71">
                    <c:v>19-Aug-2026</c:v>
                  </c:pt>
                  <c:pt idx="72">
                    <c:v>13-Sep-2026</c:v>
                  </c:pt>
                  <c:pt idx="73">
                    <c:v>10-Sep-2026</c:v>
                  </c:pt>
                  <c:pt idx="74">
                    <c:v>27-Aug-2026</c:v>
                  </c:pt>
                  <c:pt idx="75">
                    <c:v>07-Aug-2026</c:v>
                  </c:pt>
                  <c:pt idx="76">
                    <c:v>14-Aug-2026</c:v>
                  </c:pt>
                  <c:pt idx="77">
                    <c:v>09-Aug-2026</c:v>
                  </c:pt>
                  <c:pt idx="78">
                    <c:v>08-Aug-2026</c:v>
                  </c:pt>
                  <c:pt idx="79">
                    <c:v>20-Aug-2026</c:v>
                  </c:pt>
                  <c:pt idx="80">
                    <c:v>09-Sep-2026</c:v>
                  </c:pt>
                  <c:pt idx="81">
                    <c:v>16-Sep-2026</c:v>
                  </c:pt>
                  <c:pt idx="82">
                    <c:v>05-Aug-2026</c:v>
                  </c:pt>
                  <c:pt idx="83">
                    <c:v>27-Aug-2026</c:v>
                  </c:pt>
                  <c:pt idx="84">
                    <c:v>24-Aug-2026</c:v>
                  </c:pt>
                  <c:pt idx="85">
                    <c:v>02-Aug-2026</c:v>
                  </c:pt>
                  <c:pt idx="86">
                    <c:v>27-Aug-2026</c:v>
                  </c:pt>
                  <c:pt idx="87">
                    <c:v>13-Sep-2026</c:v>
                  </c:pt>
                  <c:pt idx="88">
                    <c:v>12-Sep-2026</c:v>
                  </c:pt>
                  <c:pt idx="89">
                    <c:v>17-Sep-2026</c:v>
                  </c:pt>
                  <c:pt idx="90">
                    <c:v>21-Aug-2026</c:v>
                  </c:pt>
                  <c:pt idx="91">
                    <c:v>06-Aug-2026</c:v>
                  </c:pt>
                  <c:pt idx="92">
                    <c:v>02-Sep-2026</c:v>
                  </c:pt>
                  <c:pt idx="93">
                    <c:v>30-Aug-2026</c:v>
                  </c:pt>
                  <c:pt idx="94">
                    <c:v>07-Sep-2026</c:v>
                  </c:pt>
                  <c:pt idx="95">
                    <c:v>08-Sep-2026</c:v>
                  </c:pt>
                  <c:pt idx="96">
                    <c:v>22-Aug-2026</c:v>
                  </c:pt>
                  <c:pt idx="97">
                    <c:v>22-Aug-2026</c:v>
                  </c:pt>
                  <c:pt idx="98">
                    <c:v>20-Aug-2026</c:v>
                  </c:pt>
                  <c:pt idx="99">
                    <c:v>06-Aug-2026</c:v>
                  </c:pt>
                  <c:pt idx="100">
                    <c:v>04-Sep-2026</c:v>
                  </c:pt>
                  <c:pt idx="101">
                    <c:v>03-Aug-2026</c:v>
                  </c:pt>
                  <c:pt idx="102">
                    <c:v>30-Aug-2026</c:v>
                  </c:pt>
                  <c:pt idx="103">
                    <c:v>05-Sep-2026</c:v>
                  </c:pt>
                  <c:pt idx="104">
                    <c:v>27-Aug-2026</c:v>
                  </c:pt>
                  <c:pt idx="105">
                    <c:v>09-Aug-2026</c:v>
                  </c:pt>
                  <c:pt idx="106">
                    <c:v>03-Sep-2026</c:v>
                  </c:pt>
                  <c:pt idx="107">
                    <c:v>10-Sep-2026</c:v>
                  </c:pt>
                  <c:pt idx="108">
                    <c:v>04-Sep-2026</c:v>
                  </c:pt>
                  <c:pt idx="109">
                    <c:v>16-Aug-2026</c:v>
                  </c:pt>
                  <c:pt idx="110">
                    <c:v>09-Aug-2026</c:v>
                  </c:pt>
                  <c:pt idx="111">
                    <c:v>17-Aug-2026</c:v>
                  </c:pt>
                  <c:pt idx="112">
                    <c:v>01-Sep-2026</c:v>
                  </c:pt>
                  <c:pt idx="113">
                    <c:v>29-Aug-2026</c:v>
                  </c:pt>
                  <c:pt idx="114">
                    <c:v>12-Sep-2026</c:v>
                  </c:pt>
                  <c:pt idx="115">
                    <c:v>06-Sep-2026</c:v>
                  </c:pt>
                  <c:pt idx="116">
                    <c:v>17-Sep-2026</c:v>
                  </c:pt>
                  <c:pt idx="117">
                    <c:v>08-Aug-2026</c:v>
                  </c:pt>
                  <c:pt idx="118">
                    <c:v>11-Aug-2026</c:v>
                  </c:pt>
                  <c:pt idx="119">
                    <c:v>05-Sep-2026</c:v>
                  </c:pt>
                  <c:pt idx="120">
                    <c:v>23-Aug-2026</c:v>
                  </c:pt>
                  <c:pt idx="121">
                    <c:v>11-Aug-2026</c:v>
                  </c:pt>
                  <c:pt idx="122">
                    <c:v>07-Sep-2026</c:v>
                  </c:pt>
                  <c:pt idx="123">
                    <c:v>17-Aug-2026</c:v>
                  </c:pt>
                  <c:pt idx="124">
                    <c:v>11-Aug-2026</c:v>
                  </c:pt>
                  <c:pt idx="125">
                    <c:v>02-Sep-2026</c:v>
                  </c:pt>
                  <c:pt idx="126">
                    <c:v>06-Sep-2026</c:v>
                  </c:pt>
                  <c:pt idx="127">
                    <c:v>07-Sep-2026</c:v>
                  </c:pt>
                  <c:pt idx="128">
                    <c:v>03-Aug-2026</c:v>
                  </c:pt>
                  <c:pt idx="129">
                    <c:v>08-Aug-2026</c:v>
                  </c:pt>
                  <c:pt idx="130">
                    <c:v>03-Sep-2026</c:v>
                  </c:pt>
                  <c:pt idx="131">
                    <c:v>04-Sep-2026</c:v>
                  </c:pt>
                  <c:pt idx="132">
                    <c:v>31-Aug-2026</c:v>
                  </c:pt>
                  <c:pt idx="133">
                    <c:v>03-Aug-2026</c:v>
                  </c:pt>
                  <c:pt idx="134">
                    <c:v>15-Sep-2026</c:v>
                  </c:pt>
                  <c:pt idx="135">
                    <c:v>13-Sep-2026</c:v>
                  </c:pt>
                  <c:pt idx="136">
                    <c:v>23-Aug-2026</c:v>
                  </c:pt>
                  <c:pt idx="137">
                    <c:v>15-Sep-2026</c:v>
                  </c:pt>
                  <c:pt idx="138">
                    <c:v>15-Aug-2026</c:v>
                  </c:pt>
                  <c:pt idx="139">
                    <c:v>31-Aug-2026</c:v>
                  </c:pt>
                  <c:pt idx="140">
                    <c:v>26-Aug-2026</c:v>
                  </c:pt>
                  <c:pt idx="141">
                    <c:v>02-Sep-2026</c:v>
                  </c:pt>
                  <c:pt idx="142">
                    <c:v>09-Sep-2026</c:v>
                  </c:pt>
                  <c:pt idx="143">
                    <c:v>16-Aug-2026</c:v>
                  </c:pt>
                  <c:pt idx="144">
                    <c:v>15-Sep-2026</c:v>
                  </c:pt>
                  <c:pt idx="145">
                    <c:v>31-Aug-2026</c:v>
                  </c:pt>
                  <c:pt idx="146">
                    <c:v>13-Aug-2026</c:v>
                  </c:pt>
                  <c:pt idx="147">
                    <c:v>30-Aug-2026</c:v>
                  </c:pt>
                  <c:pt idx="148">
                    <c:v>04-Sep-2026</c:v>
                  </c:pt>
                  <c:pt idx="149">
                    <c:v>25-Aug-2026</c:v>
                  </c:pt>
                  <c:pt idx="150">
                    <c:v>30-Aug-2026</c:v>
                  </c:pt>
                  <c:pt idx="151">
                    <c:v>09-Sep-2026</c:v>
                  </c:pt>
                  <c:pt idx="152">
                    <c:v>09-Aug-2026</c:v>
                  </c:pt>
                  <c:pt idx="153">
                    <c:v>20-Aug-2026</c:v>
                  </c:pt>
                  <c:pt idx="154">
                    <c:v>27-Aug-2026</c:v>
                  </c:pt>
                  <c:pt idx="155">
                    <c:v>27-Aug-2026</c:v>
                  </c:pt>
                  <c:pt idx="156">
                    <c:v>08-Sep-2026</c:v>
                  </c:pt>
                  <c:pt idx="157">
                    <c:v>13-Aug-2026</c:v>
                  </c:pt>
                  <c:pt idx="158">
                    <c:v>24-Aug-2026</c:v>
                  </c:pt>
                  <c:pt idx="159">
                    <c:v>02-Aug-2026</c:v>
                  </c:pt>
                  <c:pt idx="160">
                    <c:v>16-Sep-2026</c:v>
                  </c:pt>
                  <c:pt idx="161">
                    <c:v>03-Aug-2026</c:v>
                  </c:pt>
                  <c:pt idx="162">
                    <c:v>31-Aug-2026</c:v>
                  </c:pt>
                  <c:pt idx="163">
                    <c:v>12-Aug-2026</c:v>
                  </c:pt>
                  <c:pt idx="164">
                    <c:v>20-Aug-2026</c:v>
                  </c:pt>
                  <c:pt idx="165">
                    <c:v>06-Sep-2026</c:v>
                  </c:pt>
                  <c:pt idx="166">
                    <c:v>21-Aug-2026</c:v>
                  </c:pt>
                  <c:pt idx="167">
                    <c:v>25-Aug-2026</c:v>
                  </c:pt>
                  <c:pt idx="168">
                    <c:v>02-Aug-2026</c:v>
                  </c:pt>
                  <c:pt idx="169">
                    <c:v>16-Aug-2026</c:v>
                  </c:pt>
                  <c:pt idx="170">
                    <c:v>09-Aug-2026</c:v>
                  </c:pt>
                  <c:pt idx="171">
                    <c:v>01-Aug-2026</c:v>
                  </c:pt>
                  <c:pt idx="172">
                    <c:v>28-Aug-2026</c:v>
                  </c:pt>
                  <c:pt idx="173">
                    <c:v>22-Aug-2026</c:v>
                  </c:pt>
                  <c:pt idx="174">
                    <c:v>06-Sep-2026</c:v>
                  </c:pt>
                  <c:pt idx="175">
                    <c:v>15-Sep-2026</c:v>
                  </c:pt>
                  <c:pt idx="176">
                    <c:v>31-Aug-2026</c:v>
                  </c:pt>
                  <c:pt idx="177">
                    <c:v>16-Aug-2026</c:v>
                  </c:pt>
                  <c:pt idx="178">
                    <c:v>07-Sep-2026</c:v>
                  </c:pt>
                  <c:pt idx="179">
                    <c:v>08-Aug-2026</c:v>
                  </c:pt>
                  <c:pt idx="180">
                    <c:v>11-Sep-2026</c:v>
                  </c:pt>
                  <c:pt idx="181">
                    <c:v>12-Aug-2026</c:v>
                  </c:pt>
                  <c:pt idx="182">
                    <c:v>04-Sep-2026</c:v>
                  </c:pt>
                  <c:pt idx="183">
                    <c:v>08-Aug-2026</c:v>
                  </c:pt>
                  <c:pt idx="184">
                    <c:v>02-Sep-2026</c:v>
                  </c:pt>
                  <c:pt idx="185">
                    <c:v>19-Aug-2026</c:v>
                  </c:pt>
                  <c:pt idx="186">
                    <c:v>15-Sep-2026</c:v>
                  </c:pt>
                  <c:pt idx="187">
                    <c:v>17-Sep-2026</c:v>
                  </c:pt>
                  <c:pt idx="188">
                    <c:v>20-Aug-2026</c:v>
                  </c:pt>
                  <c:pt idx="189">
                    <c:v>10-Sep-2026</c:v>
                  </c:pt>
                  <c:pt idx="190">
                    <c:v>13-Sep-2026</c:v>
                  </c:pt>
                  <c:pt idx="191">
                    <c:v>01-Sep-2026</c:v>
                  </c:pt>
                  <c:pt idx="192">
                    <c:v>16-Sep-2026</c:v>
                  </c:pt>
                  <c:pt idx="193">
                    <c:v>06-Sep-2026</c:v>
                  </c:pt>
                  <c:pt idx="194">
                    <c:v>13-Aug-2026</c:v>
                  </c:pt>
                  <c:pt idx="195">
                    <c:v>16-Sep-2026</c:v>
                  </c:pt>
                  <c:pt idx="196">
                    <c:v>14-Sep-2026</c:v>
                  </c:pt>
                  <c:pt idx="197">
                    <c:v>11-Sep-2026</c:v>
                  </c:pt>
                  <c:pt idx="198">
                    <c:v>09-Aug-2026</c:v>
                  </c:pt>
                  <c:pt idx="199">
                    <c:v>14-Sep-2026</c:v>
                  </c:pt>
                  <c:pt idx="200">
                    <c:v>01-Aug-2026</c:v>
                  </c:pt>
                  <c:pt idx="201">
                    <c:v>01-Aug-2026</c:v>
                  </c:pt>
                  <c:pt idx="202">
                    <c:v>18-Aug-2026</c:v>
                  </c:pt>
                  <c:pt idx="203">
                    <c:v>20-Aug-2026</c:v>
                  </c:pt>
                  <c:pt idx="204">
                    <c:v>14-Sep-2026</c:v>
                  </c:pt>
                  <c:pt idx="205">
                    <c:v>02-Aug-2026</c:v>
                  </c:pt>
                  <c:pt idx="206">
                    <c:v>07-Aug-2026</c:v>
                  </c:pt>
                  <c:pt idx="207">
                    <c:v>05-Sep-2026</c:v>
                  </c:pt>
                  <c:pt idx="208">
                    <c:v>26-Aug-2026</c:v>
                  </c:pt>
                  <c:pt idx="209">
                    <c:v>24-Aug-2026</c:v>
                  </c:pt>
                  <c:pt idx="210">
                    <c:v>01-Aug-2026</c:v>
                  </c:pt>
                  <c:pt idx="211">
                    <c:v>15-Aug-2026</c:v>
                  </c:pt>
                  <c:pt idx="212">
                    <c:v>19-Aug-2026</c:v>
                  </c:pt>
                  <c:pt idx="213">
                    <c:v>11-Aug-2026</c:v>
                  </c:pt>
                  <c:pt idx="214">
                    <c:v>03-Aug-2026</c:v>
                  </c:pt>
                  <c:pt idx="215">
                    <c:v>26-Aug-2026</c:v>
                  </c:pt>
                  <c:pt idx="216">
                    <c:v>07-Sep-2026</c:v>
                  </c:pt>
                  <c:pt idx="217">
                    <c:v>04-Aug-2026</c:v>
                  </c:pt>
                  <c:pt idx="218">
                    <c:v>09-Sep-2026</c:v>
                  </c:pt>
                  <c:pt idx="219">
                    <c:v>16-Aug-2026</c:v>
                  </c:pt>
                  <c:pt idx="220">
                    <c:v>02-Aug-2026</c:v>
                  </c:pt>
                  <c:pt idx="221">
                    <c:v>18-Sep-2026</c:v>
                  </c:pt>
                  <c:pt idx="222">
                    <c:v>10-Aug-2026</c:v>
                  </c:pt>
                  <c:pt idx="223">
                    <c:v>13-Aug-2026</c:v>
                  </c:pt>
                  <c:pt idx="224">
                    <c:v>15-Sep-2026</c:v>
                  </c:pt>
                  <c:pt idx="225">
                    <c:v>14-Sep-2026</c:v>
                  </c:pt>
                  <c:pt idx="226">
                    <c:v>03-Aug-2026</c:v>
                  </c:pt>
                  <c:pt idx="227">
                    <c:v>10-Sep-2026</c:v>
                  </c:pt>
                  <c:pt idx="228">
                    <c:v>01-Sep-2026</c:v>
                  </c:pt>
                  <c:pt idx="229">
                    <c:v>19-Aug-2026</c:v>
                  </c:pt>
                  <c:pt idx="230">
                    <c:v>11-Sep-2026</c:v>
                  </c:pt>
                  <c:pt idx="231">
                    <c:v>20-Aug-2026</c:v>
                  </c:pt>
                  <c:pt idx="232">
                    <c:v>14-Aug-2026</c:v>
                  </c:pt>
                  <c:pt idx="233">
                    <c:v>12-Aug-2026</c:v>
                  </c:pt>
                  <c:pt idx="234">
                    <c:v>04-Sep-2026</c:v>
                  </c:pt>
                  <c:pt idx="235">
                    <c:v>31-Aug-2026</c:v>
                  </c:pt>
                  <c:pt idx="236">
                    <c:v>14-Aug-2026</c:v>
                  </c:pt>
                  <c:pt idx="237">
                    <c:v>06-Aug-2026</c:v>
                  </c:pt>
                  <c:pt idx="238">
                    <c:v>07-Aug-2026</c:v>
                  </c:pt>
                  <c:pt idx="239">
                    <c:v>26-Aug-2026</c:v>
                  </c:pt>
                  <c:pt idx="240">
                    <c:v>01-Sep-2026</c:v>
                  </c:pt>
                  <c:pt idx="241">
                    <c:v>27-Aug-2026</c:v>
                  </c:pt>
                  <c:pt idx="242">
                    <c:v>13-Aug-2026</c:v>
                  </c:pt>
                  <c:pt idx="243">
                    <c:v>16-Aug-2026</c:v>
                  </c:pt>
                  <c:pt idx="244">
                    <c:v>06-Sep-2026</c:v>
                  </c:pt>
                  <c:pt idx="245">
                    <c:v>09-Aug-2026</c:v>
                  </c:pt>
                  <c:pt idx="246">
                    <c:v>26-Aug-2026</c:v>
                  </c:pt>
                  <c:pt idx="247">
                    <c:v>18-Aug-2026</c:v>
                  </c:pt>
                  <c:pt idx="248">
                    <c:v>19-Aug-2026</c:v>
                  </c:pt>
                  <c:pt idx="249">
                    <c:v>12-Sep-2026</c:v>
                  </c:pt>
                  <c:pt idx="250">
                    <c:v>11-Sep-2026</c:v>
                  </c:pt>
                  <c:pt idx="251">
                    <c:v>07-Sep-2026</c:v>
                  </c:pt>
                  <c:pt idx="252">
                    <c:v>10-Aug-2026</c:v>
                  </c:pt>
                  <c:pt idx="253">
                    <c:v>06-Sep-2026</c:v>
                  </c:pt>
                  <c:pt idx="254">
                    <c:v>18-Sep-2026</c:v>
                  </c:pt>
                  <c:pt idx="255">
                    <c:v>03-Aug-2026</c:v>
                  </c:pt>
                  <c:pt idx="256">
                    <c:v>02-Aug-2026</c:v>
                  </c:pt>
                  <c:pt idx="257">
                    <c:v>09-Sep-2026</c:v>
                  </c:pt>
                  <c:pt idx="258">
                    <c:v>20-Aug-2026</c:v>
                  </c:pt>
                  <c:pt idx="259">
                    <c:v>08-Aug-2026</c:v>
                  </c:pt>
                  <c:pt idx="260">
                    <c:v>16-Aug-2026</c:v>
                  </c:pt>
                  <c:pt idx="261">
                    <c:v>30-Aug-2026</c:v>
                  </c:pt>
                  <c:pt idx="262">
                    <c:v>12-Sep-2026</c:v>
                  </c:pt>
                  <c:pt idx="263">
                    <c:v>25-Aug-2026</c:v>
                  </c:pt>
                  <c:pt idx="264">
                    <c:v>12-Aug-2026</c:v>
                  </c:pt>
                  <c:pt idx="265">
                    <c:v>17-Aug-2026</c:v>
                  </c:pt>
                  <c:pt idx="266">
                    <c:v>31-Aug-2026</c:v>
                  </c:pt>
                  <c:pt idx="267">
                    <c:v>05-Aug-2026</c:v>
                  </c:pt>
                  <c:pt idx="268">
                    <c:v>29-Aug-2026</c:v>
                  </c:pt>
                  <c:pt idx="269">
                    <c:v>02-Sep-2026</c:v>
                  </c:pt>
                  <c:pt idx="270">
                    <c:v>18-Sep-2026</c:v>
                  </c:pt>
                  <c:pt idx="271">
                    <c:v>07-Aug-2026</c:v>
                  </c:pt>
                  <c:pt idx="272">
                    <c:v>08-Aug-2026</c:v>
                  </c:pt>
                  <c:pt idx="273">
                    <c:v>14-Sep-2026</c:v>
                  </c:pt>
                  <c:pt idx="274">
                    <c:v>29-Aug-2026</c:v>
                  </c:pt>
                  <c:pt idx="275">
                    <c:v>15-Sep-2026</c:v>
                  </c:pt>
                  <c:pt idx="276">
                    <c:v>13-Sep-2026</c:v>
                  </c:pt>
                  <c:pt idx="277">
                    <c:v>13-Sep-2026</c:v>
                  </c:pt>
                  <c:pt idx="278">
                    <c:v>25-Aug-2026</c:v>
                  </c:pt>
                  <c:pt idx="279">
                    <c:v>15-Aug-2026</c:v>
                  </c:pt>
                  <c:pt idx="280">
                    <c:v>18-Aug-2026</c:v>
                  </c:pt>
                  <c:pt idx="281">
                    <c:v>10-Sep-2026</c:v>
                  </c:pt>
                  <c:pt idx="282">
                    <c:v>04-Sep-2026</c:v>
                  </c:pt>
                  <c:pt idx="283">
                    <c:v>08-Aug-2026</c:v>
                  </c:pt>
                  <c:pt idx="284">
                    <c:v>02-Aug-2026</c:v>
                  </c:pt>
                  <c:pt idx="285">
                    <c:v>04-Sep-2026</c:v>
                  </c:pt>
                  <c:pt idx="286">
                    <c:v>15-Sep-2026</c:v>
                  </c:pt>
                  <c:pt idx="287">
                    <c:v>28-Aug-2026</c:v>
                  </c:pt>
                  <c:pt idx="288">
                    <c:v>08-Sep-2026</c:v>
                  </c:pt>
                  <c:pt idx="289">
                    <c:v>19-Aug-2026</c:v>
                  </c:pt>
                  <c:pt idx="290">
                    <c:v>14-Aug-2026</c:v>
                  </c:pt>
                  <c:pt idx="291">
                    <c:v>30-Aug-2026</c:v>
                  </c:pt>
                  <c:pt idx="292">
                    <c:v>21-Aug-2026</c:v>
                  </c:pt>
                  <c:pt idx="293">
                    <c:v>15-Sep-2026</c:v>
                  </c:pt>
                  <c:pt idx="294">
                    <c:v>04-Sep-2026</c:v>
                  </c:pt>
                  <c:pt idx="295">
                    <c:v>05-Sep-2026</c:v>
                  </c:pt>
                  <c:pt idx="296">
                    <c:v>12-Sep-2026</c:v>
                  </c:pt>
                  <c:pt idx="297">
                    <c:v>15-Aug-2026</c:v>
                  </c:pt>
                  <c:pt idx="298">
                    <c:v>17-Sep-2026</c:v>
                  </c:pt>
                  <c:pt idx="299">
                    <c:v>03-Sep-2026</c:v>
                  </c:pt>
                </c:lvl>
                <c:lvl>
                  <c:pt idx="0">
                    <c:v>O0001</c:v>
                  </c:pt>
                  <c:pt idx="1">
                    <c:v>O0002</c:v>
                  </c:pt>
                  <c:pt idx="2">
                    <c:v>O0003</c:v>
                  </c:pt>
                  <c:pt idx="3">
                    <c:v>O0004</c:v>
                  </c:pt>
                  <c:pt idx="4">
                    <c:v>O0005</c:v>
                  </c:pt>
                  <c:pt idx="5">
                    <c:v>O0006</c:v>
                  </c:pt>
                  <c:pt idx="6">
                    <c:v>O0007</c:v>
                  </c:pt>
                  <c:pt idx="7">
                    <c:v>O0008</c:v>
                  </c:pt>
                  <c:pt idx="8">
                    <c:v>O0009</c:v>
                  </c:pt>
                  <c:pt idx="9">
                    <c:v>O0010</c:v>
                  </c:pt>
                  <c:pt idx="10">
                    <c:v>O0011</c:v>
                  </c:pt>
                  <c:pt idx="11">
                    <c:v>O0012</c:v>
                  </c:pt>
                  <c:pt idx="12">
                    <c:v>O0013</c:v>
                  </c:pt>
                  <c:pt idx="13">
                    <c:v>O0014</c:v>
                  </c:pt>
                  <c:pt idx="14">
                    <c:v>O0015</c:v>
                  </c:pt>
                  <c:pt idx="15">
                    <c:v>O0016</c:v>
                  </c:pt>
                  <c:pt idx="16">
                    <c:v>O0017</c:v>
                  </c:pt>
                  <c:pt idx="17">
                    <c:v>O0018</c:v>
                  </c:pt>
                  <c:pt idx="18">
                    <c:v>O0019</c:v>
                  </c:pt>
                  <c:pt idx="19">
                    <c:v>O0020</c:v>
                  </c:pt>
                  <c:pt idx="20">
                    <c:v>O0021</c:v>
                  </c:pt>
                  <c:pt idx="21">
                    <c:v>O0022</c:v>
                  </c:pt>
                  <c:pt idx="22">
                    <c:v>O0023</c:v>
                  </c:pt>
                  <c:pt idx="23">
                    <c:v>O0024</c:v>
                  </c:pt>
                  <c:pt idx="24">
                    <c:v>O0025</c:v>
                  </c:pt>
                  <c:pt idx="25">
                    <c:v>O0026</c:v>
                  </c:pt>
                  <c:pt idx="26">
                    <c:v>O0027</c:v>
                  </c:pt>
                  <c:pt idx="27">
                    <c:v>O0028</c:v>
                  </c:pt>
                  <c:pt idx="28">
                    <c:v>O0029</c:v>
                  </c:pt>
                  <c:pt idx="29">
                    <c:v>O0030</c:v>
                  </c:pt>
                  <c:pt idx="30">
                    <c:v>O0031</c:v>
                  </c:pt>
                  <c:pt idx="31">
                    <c:v>O0032</c:v>
                  </c:pt>
                  <c:pt idx="32">
                    <c:v>O0033</c:v>
                  </c:pt>
                  <c:pt idx="33">
                    <c:v>O0034</c:v>
                  </c:pt>
                  <c:pt idx="34">
                    <c:v>O0035</c:v>
                  </c:pt>
                  <c:pt idx="35">
                    <c:v>O0036</c:v>
                  </c:pt>
                  <c:pt idx="36">
                    <c:v>O0037</c:v>
                  </c:pt>
                  <c:pt idx="37">
                    <c:v>O0038</c:v>
                  </c:pt>
                  <c:pt idx="38">
                    <c:v>O0039</c:v>
                  </c:pt>
                  <c:pt idx="39">
                    <c:v>O0040</c:v>
                  </c:pt>
                  <c:pt idx="40">
                    <c:v>O0041</c:v>
                  </c:pt>
                  <c:pt idx="41">
                    <c:v>O0042</c:v>
                  </c:pt>
                  <c:pt idx="42">
                    <c:v>O0043</c:v>
                  </c:pt>
                  <c:pt idx="43">
                    <c:v>O0044</c:v>
                  </c:pt>
                  <c:pt idx="44">
                    <c:v>O0045</c:v>
                  </c:pt>
                  <c:pt idx="45">
                    <c:v>O0046</c:v>
                  </c:pt>
                  <c:pt idx="46">
                    <c:v>O0047</c:v>
                  </c:pt>
                  <c:pt idx="47">
                    <c:v>O0048</c:v>
                  </c:pt>
                  <c:pt idx="48">
                    <c:v>O0049</c:v>
                  </c:pt>
                  <c:pt idx="49">
                    <c:v>O0050</c:v>
                  </c:pt>
                  <c:pt idx="50">
                    <c:v>O0051</c:v>
                  </c:pt>
                  <c:pt idx="51">
                    <c:v>O0052</c:v>
                  </c:pt>
                  <c:pt idx="52">
                    <c:v>O0053</c:v>
                  </c:pt>
                  <c:pt idx="53">
                    <c:v>O0054</c:v>
                  </c:pt>
                  <c:pt idx="54">
                    <c:v>O0055</c:v>
                  </c:pt>
                  <c:pt idx="55">
                    <c:v>O0056</c:v>
                  </c:pt>
                  <c:pt idx="56">
                    <c:v>O0057</c:v>
                  </c:pt>
                  <c:pt idx="57">
                    <c:v>O0058</c:v>
                  </c:pt>
                  <c:pt idx="58">
                    <c:v>O0059</c:v>
                  </c:pt>
                  <c:pt idx="59">
                    <c:v>O0060</c:v>
                  </c:pt>
                  <c:pt idx="60">
                    <c:v>O0061</c:v>
                  </c:pt>
                  <c:pt idx="61">
                    <c:v>O0062</c:v>
                  </c:pt>
                  <c:pt idx="62">
                    <c:v>O0063</c:v>
                  </c:pt>
                  <c:pt idx="63">
                    <c:v>O0064</c:v>
                  </c:pt>
                  <c:pt idx="64">
                    <c:v>O0065</c:v>
                  </c:pt>
                  <c:pt idx="65">
                    <c:v>O0066</c:v>
                  </c:pt>
                  <c:pt idx="66">
                    <c:v>O0067</c:v>
                  </c:pt>
                  <c:pt idx="67">
                    <c:v>O0068</c:v>
                  </c:pt>
                  <c:pt idx="68">
                    <c:v>O0069</c:v>
                  </c:pt>
                  <c:pt idx="69">
                    <c:v>O0070</c:v>
                  </c:pt>
                  <c:pt idx="70">
                    <c:v>O0071</c:v>
                  </c:pt>
                  <c:pt idx="71">
                    <c:v>O0072</c:v>
                  </c:pt>
                  <c:pt idx="72">
                    <c:v>O0073</c:v>
                  </c:pt>
                  <c:pt idx="73">
                    <c:v>O0074</c:v>
                  </c:pt>
                  <c:pt idx="74">
                    <c:v>O0075</c:v>
                  </c:pt>
                  <c:pt idx="75">
                    <c:v>O0076</c:v>
                  </c:pt>
                  <c:pt idx="76">
                    <c:v>O0077</c:v>
                  </c:pt>
                  <c:pt idx="77">
                    <c:v>O0078</c:v>
                  </c:pt>
                  <c:pt idx="78">
                    <c:v>O0079</c:v>
                  </c:pt>
                  <c:pt idx="79">
                    <c:v>O0080</c:v>
                  </c:pt>
                  <c:pt idx="80">
                    <c:v>O0081</c:v>
                  </c:pt>
                  <c:pt idx="81">
                    <c:v>O0082</c:v>
                  </c:pt>
                  <c:pt idx="82">
                    <c:v>O0083</c:v>
                  </c:pt>
                  <c:pt idx="83">
                    <c:v>O0084</c:v>
                  </c:pt>
                  <c:pt idx="84">
                    <c:v>O0085</c:v>
                  </c:pt>
                  <c:pt idx="85">
                    <c:v>O0086</c:v>
                  </c:pt>
                  <c:pt idx="86">
                    <c:v>O0087</c:v>
                  </c:pt>
                  <c:pt idx="87">
                    <c:v>O0088</c:v>
                  </c:pt>
                  <c:pt idx="88">
                    <c:v>O0089</c:v>
                  </c:pt>
                  <c:pt idx="89">
                    <c:v>O0090</c:v>
                  </c:pt>
                  <c:pt idx="90">
                    <c:v>O0091</c:v>
                  </c:pt>
                  <c:pt idx="91">
                    <c:v>O0092</c:v>
                  </c:pt>
                  <c:pt idx="92">
                    <c:v>O0093</c:v>
                  </c:pt>
                  <c:pt idx="93">
                    <c:v>O0094</c:v>
                  </c:pt>
                  <c:pt idx="94">
                    <c:v>O0095</c:v>
                  </c:pt>
                  <c:pt idx="95">
                    <c:v>O0096</c:v>
                  </c:pt>
                  <c:pt idx="96">
                    <c:v>O0097</c:v>
                  </c:pt>
                  <c:pt idx="97">
                    <c:v>O0098</c:v>
                  </c:pt>
                  <c:pt idx="98">
                    <c:v>O0099</c:v>
                  </c:pt>
                  <c:pt idx="99">
                    <c:v>O0100</c:v>
                  </c:pt>
                  <c:pt idx="100">
                    <c:v>O0101</c:v>
                  </c:pt>
                  <c:pt idx="101">
                    <c:v>O0102</c:v>
                  </c:pt>
                  <c:pt idx="102">
                    <c:v>O0103</c:v>
                  </c:pt>
                  <c:pt idx="103">
                    <c:v>O0104</c:v>
                  </c:pt>
                  <c:pt idx="104">
                    <c:v>O0105</c:v>
                  </c:pt>
                  <c:pt idx="105">
                    <c:v>O0106</c:v>
                  </c:pt>
                  <c:pt idx="106">
                    <c:v>O0107</c:v>
                  </c:pt>
                  <c:pt idx="107">
                    <c:v>O0108</c:v>
                  </c:pt>
                  <c:pt idx="108">
                    <c:v>O0109</c:v>
                  </c:pt>
                  <c:pt idx="109">
                    <c:v>O0110</c:v>
                  </c:pt>
                  <c:pt idx="110">
                    <c:v>O0111</c:v>
                  </c:pt>
                  <c:pt idx="111">
                    <c:v>O0112</c:v>
                  </c:pt>
                  <c:pt idx="112">
                    <c:v>O0113</c:v>
                  </c:pt>
                  <c:pt idx="113">
                    <c:v>O0114</c:v>
                  </c:pt>
                  <c:pt idx="114">
                    <c:v>O0115</c:v>
                  </c:pt>
                  <c:pt idx="115">
                    <c:v>O0116</c:v>
                  </c:pt>
                  <c:pt idx="116">
                    <c:v>O0117</c:v>
                  </c:pt>
                  <c:pt idx="117">
                    <c:v>O0118</c:v>
                  </c:pt>
                  <c:pt idx="118">
                    <c:v>O0119</c:v>
                  </c:pt>
                  <c:pt idx="119">
                    <c:v>O0120</c:v>
                  </c:pt>
                  <c:pt idx="120">
                    <c:v>O0121</c:v>
                  </c:pt>
                  <c:pt idx="121">
                    <c:v>O0122</c:v>
                  </c:pt>
                  <c:pt idx="122">
                    <c:v>O0123</c:v>
                  </c:pt>
                  <c:pt idx="123">
                    <c:v>O0124</c:v>
                  </c:pt>
                  <c:pt idx="124">
                    <c:v>O0125</c:v>
                  </c:pt>
                  <c:pt idx="125">
                    <c:v>O0126</c:v>
                  </c:pt>
                  <c:pt idx="126">
                    <c:v>O0127</c:v>
                  </c:pt>
                  <c:pt idx="127">
                    <c:v>O0128</c:v>
                  </c:pt>
                  <c:pt idx="128">
                    <c:v>O0129</c:v>
                  </c:pt>
                  <c:pt idx="129">
                    <c:v>O0130</c:v>
                  </c:pt>
                  <c:pt idx="130">
                    <c:v>O0131</c:v>
                  </c:pt>
                  <c:pt idx="131">
                    <c:v>O0132</c:v>
                  </c:pt>
                  <c:pt idx="132">
                    <c:v>O0133</c:v>
                  </c:pt>
                  <c:pt idx="133">
                    <c:v>O0134</c:v>
                  </c:pt>
                  <c:pt idx="134">
                    <c:v>O0135</c:v>
                  </c:pt>
                  <c:pt idx="135">
                    <c:v>O0136</c:v>
                  </c:pt>
                  <c:pt idx="136">
                    <c:v>O0137</c:v>
                  </c:pt>
                  <c:pt idx="137">
                    <c:v>O0138</c:v>
                  </c:pt>
                  <c:pt idx="138">
                    <c:v>O0139</c:v>
                  </c:pt>
                  <c:pt idx="139">
                    <c:v>O0140</c:v>
                  </c:pt>
                  <c:pt idx="140">
                    <c:v>O0141</c:v>
                  </c:pt>
                  <c:pt idx="141">
                    <c:v>O0142</c:v>
                  </c:pt>
                  <c:pt idx="142">
                    <c:v>O0143</c:v>
                  </c:pt>
                  <c:pt idx="143">
                    <c:v>O0144</c:v>
                  </c:pt>
                  <c:pt idx="144">
                    <c:v>O0145</c:v>
                  </c:pt>
                  <c:pt idx="145">
                    <c:v>O0146</c:v>
                  </c:pt>
                  <c:pt idx="146">
                    <c:v>O0147</c:v>
                  </c:pt>
                  <c:pt idx="147">
                    <c:v>O0148</c:v>
                  </c:pt>
                  <c:pt idx="148">
                    <c:v>O0149</c:v>
                  </c:pt>
                  <c:pt idx="149">
                    <c:v>O0150</c:v>
                  </c:pt>
                  <c:pt idx="150">
                    <c:v>O0151</c:v>
                  </c:pt>
                  <c:pt idx="151">
                    <c:v>O0152</c:v>
                  </c:pt>
                  <c:pt idx="152">
                    <c:v>O0153</c:v>
                  </c:pt>
                  <c:pt idx="153">
                    <c:v>O0154</c:v>
                  </c:pt>
                  <c:pt idx="154">
                    <c:v>O0155</c:v>
                  </c:pt>
                  <c:pt idx="155">
                    <c:v>O0156</c:v>
                  </c:pt>
                  <c:pt idx="156">
                    <c:v>O0157</c:v>
                  </c:pt>
                  <c:pt idx="157">
                    <c:v>O0158</c:v>
                  </c:pt>
                  <c:pt idx="158">
                    <c:v>O0159</c:v>
                  </c:pt>
                  <c:pt idx="159">
                    <c:v>O0160</c:v>
                  </c:pt>
                  <c:pt idx="160">
                    <c:v>O0161</c:v>
                  </c:pt>
                  <c:pt idx="161">
                    <c:v>O0162</c:v>
                  </c:pt>
                  <c:pt idx="162">
                    <c:v>O0163</c:v>
                  </c:pt>
                  <c:pt idx="163">
                    <c:v>O0164</c:v>
                  </c:pt>
                  <c:pt idx="164">
                    <c:v>O0165</c:v>
                  </c:pt>
                  <c:pt idx="165">
                    <c:v>O0166</c:v>
                  </c:pt>
                  <c:pt idx="166">
                    <c:v>O0167</c:v>
                  </c:pt>
                  <c:pt idx="167">
                    <c:v>O0168</c:v>
                  </c:pt>
                  <c:pt idx="168">
                    <c:v>O0169</c:v>
                  </c:pt>
                  <c:pt idx="169">
                    <c:v>O0170</c:v>
                  </c:pt>
                  <c:pt idx="170">
                    <c:v>O0171</c:v>
                  </c:pt>
                  <c:pt idx="171">
                    <c:v>O0172</c:v>
                  </c:pt>
                  <c:pt idx="172">
                    <c:v>O0173</c:v>
                  </c:pt>
                  <c:pt idx="173">
                    <c:v>O0174</c:v>
                  </c:pt>
                  <c:pt idx="174">
                    <c:v>O0175</c:v>
                  </c:pt>
                  <c:pt idx="175">
                    <c:v>O0176</c:v>
                  </c:pt>
                  <c:pt idx="176">
                    <c:v>O0177</c:v>
                  </c:pt>
                  <c:pt idx="177">
                    <c:v>O0178</c:v>
                  </c:pt>
                  <c:pt idx="178">
                    <c:v>O0179</c:v>
                  </c:pt>
                  <c:pt idx="179">
                    <c:v>O0180</c:v>
                  </c:pt>
                  <c:pt idx="180">
                    <c:v>O0181</c:v>
                  </c:pt>
                  <c:pt idx="181">
                    <c:v>O0182</c:v>
                  </c:pt>
                  <c:pt idx="182">
                    <c:v>O0183</c:v>
                  </c:pt>
                  <c:pt idx="183">
                    <c:v>O0184</c:v>
                  </c:pt>
                  <c:pt idx="184">
                    <c:v>O0185</c:v>
                  </c:pt>
                  <c:pt idx="185">
                    <c:v>O0186</c:v>
                  </c:pt>
                  <c:pt idx="186">
                    <c:v>O0187</c:v>
                  </c:pt>
                  <c:pt idx="187">
                    <c:v>O0188</c:v>
                  </c:pt>
                  <c:pt idx="188">
                    <c:v>O0189</c:v>
                  </c:pt>
                  <c:pt idx="189">
                    <c:v>O0190</c:v>
                  </c:pt>
                  <c:pt idx="190">
                    <c:v>O0191</c:v>
                  </c:pt>
                  <c:pt idx="191">
                    <c:v>O0192</c:v>
                  </c:pt>
                  <c:pt idx="192">
                    <c:v>O0193</c:v>
                  </c:pt>
                  <c:pt idx="193">
                    <c:v>O0194</c:v>
                  </c:pt>
                  <c:pt idx="194">
                    <c:v>O0195</c:v>
                  </c:pt>
                  <c:pt idx="195">
                    <c:v>O0196</c:v>
                  </c:pt>
                  <c:pt idx="196">
                    <c:v>O0197</c:v>
                  </c:pt>
                  <c:pt idx="197">
                    <c:v>O0198</c:v>
                  </c:pt>
                  <c:pt idx="198">
                    <c:v>O0199</c:v>
                  </c:pt>
                  <c:pt idx="199">
                    <c:v>O0200</c:v>
                  </c:pt>
                  <c:pt idx="200">
                    <c:v>O0201</c:v>
                  </c:pt>
                  <c:pt idx="201">
                    <c:v>O0202</c:v>
                  </c:pt>
                  <c:pt idx="202">
                    <c:v>O0203</c:v>
                  </c:pt>
                  <c:pt idx="203">
                    <c:v>O0204</c:v>
                  </c:pt>
                  <c:pt idx="204">
                    <c:v>O0205</c:v>
                  </c:pt>
                  <c:pt idx="205">
                    <c:v>O0206</c:v>
                  </c:pt>
                  <c:pt idx="206">
                    <c:v>O0207</c:v>
                  </c:pt>
                  <c:pt idx="207">
                    <c:v>O0208</c:v>
                  </c:pt>
                  <c:pt idx="208">
                    <c:v>O0209</c:v>
                  </c:pt>
                  <c:pt idx="209">
                    <c:v>O0210</c:v>
                  </c:pt>
                  <c:pt idx="210">
                    <c:v>O0211</c:v>
                  </c:pt>
                  <c:pt idx="211">
                    <c:v>O0212</c:v>
                  </c:pt>
                  <c:pt idx="212">
                    <c:v>O0213</c:v>
                  </c:pt>
                  <c:pt idx="213">
                    <c:v>O0214</c:v>
                  </c:pt>
                  <c:pt idx="214">
                    <c:v>O0215</c:v>
                  </c:pt>
                  <c:pt idx="215">
                    <c:v>O0216</c:v>
                  </c:pt>
                  <c:pt idx="216">
                    <c:v>O0217</c:v>
                  </c:pt>
                  <c:pt idx="217">
                    <c:v>O0218</c:v>
                  </c:pt>
                  <c:pt idx="218">
                    <c:v>O0219</c:v>
                  </c:pt>
                  <c:pt idx="219">
                    <c:v>O0220</c:v>
                  </c:pt>
                  <c:pt idx="220">
                    <c:v>O0221</c:v>
                  </c:pt>
                  <c:pt idx="221">
                    <c:v>O0222</c:v>
                  </c:pt>
                  <c:pt idx="222">
                    <c:v>O0223</c:v>
                  </c:pt>
                  <c:pt idx="223">
                    <c:v>O0224</c:v>
                  </c:pt>
                  <c:pt idx="224">
                    <c:v>O0225</c:v>
                  </c:pt>
                  <c:pt idx="225">
                    <c:v>O0226</c:v>
                  </c:pt>
                  <c:pt idx="226">
                    <c:v>O0227</c:v>
                  </c:pt>
                  <c:pt idx="227">
                    <c:v>O0228</c:v>
                  </c:pt>
                  <c:pt idx="228">
                    <c:v>O0229</c:v>
                  </c:pt>
                  <c:pt idx="229">
                    <c:v>O0230</c:v>
                  </c:pt>
                  <c:pt idx="230">
                    <c:v>O0231</c:v>
                  </c:pt>
                  <c:pt idx="231">
                    <c:v>O0232</c:v>
                  </c:pt>
                  <c:pt idx="232">
                    <c:v>O0233</c:v>
                  </c:pt>
                  <c:pt idx="233">
                    <c:v>O0234</c:v>
                  </c:pt>
                  <c:pt idx="234">
                    <c:v>O0235</c:v>
                  </c:pt>
                  <c:pt idx="235">
                    <c:v>O0236</c:v>
                  </c:pt>
                  <c:pt idx="236">
                    <c:v>O0237</c:v>
                  </c:pt>
                  <c:pt idx="237">
                    <c:v>O0238</c:v>
                  </c:pt>
                  <c:pt idx="238">
                    <c:v>O0239</c:v>
                  </c:pt>
                  <c:pt idx="239">
                    <c:v>O0240</c:v>
                  </c:pt>
                  <c:pt idx="240">
                    <c:v>O0241</c:v>
                  </c:pt>
                  <c:pt idx="241">
                    <c:v>O0242</c:v>
                  </c:pt>
                  <c:pt idx="242">
                    <c:v>O0243</c:v>
                  </c:pt>
                  <c:pt idx="243">
                    <c:v>O0244</c:v>
                  </c:pt>
                  <c:pt idx="244">
                    <c:v>O0245</c:v>
                  </c:pt>
                  <c:pt idx="245">
                    <c:v>O0246</c:v>
                  </c:pt>
                  <c:pt idx="246">
                    <c:v>O0247</c:v>
                  </c:pt>
                  <c:pt idx="247">
                    <c:v>O0248</c:v>
                  </c:pt>
                  <c:pt idx="248">
                    <c:v>O0249</c:v>
                  </c:pt>
                  <c:pt idx="249">
                    <c:v>O0250</c:v>
                  </c:pt>
                  <c:pt idx="250">
                    <c:v>O0251</c:v>
                  </c:pt>
                  <c:pt idx="251">
                    <c:v>O0252</c:v>
                  </c:pt>
                  <c:pt idx="252">
                    <c:v>O0253</c:v>
                  </c:pt>
                  <c:pt idx="253">
                    <c:v>O0254</c:v>
                  </c:pt>
                  <c:pt idx="254">
                    <c:v>O0255</c:v>
                  </c:pt>
                  <c:pt idx="255">
                    <c:v>O0256</c:v>
                  </c:pt>
                  <c:pt idx="256">
                    <c:v>O0257</c:v>
                  </c:pt>
                  <c:pt idx="257">
                    <c:v>O0258</c:v>
                  </c:pt>
                  <c:pt idx="258">
                    <c:v>O0259</c:v>
                  </c:pt>
                  <c:pt idx="259">
                    <c:v>O0260</c:v>
                  </c:pt>
                  <c:pt idx="260">
                    <c:v>O0261</c:v>
                  </c:pt>
                  <c:pt idx="261">
                    <c:v>O0262</c:v>
                  </c:pt>
                  <c:pt idx="262">
                    <c:v>O0263</c:v>
                  </c:pt>
                  <c:pt idx="263">
                    <c:v>O0264</c:v>
                  </c:pt>
                  <c:pt idx="264">
                    <c:v>O0265</c:v>
                  </c:pt>
                  <c:pt idx="265">
                    <c:v>O0266</c:v>
                  </c:pt>
                  <c:pt idx="266">
                    <c:v>O0267</c:v>
                  </c:pt>
                  <c:pt idx="267">
                    <c:v>O0268</c:v>
                  </c:pt>
                  <c:pt idx="268">
                    <c:v>O0269</c:v>
                  </c:pt>
                  <c:pt idx="269">
                    <c:v>O0270</c:v>
                  </c:pt>
                  <c:pt idx="270">
                    <c:v>O0271</c:v>
                  </c:pt>
                  <c:pt idx="271">
                    <c:v>O0272</c:v>
                  </c:pt>
                  <c:pt idx="272">
                    <c:v>O0273</c:v>
                  </c:pt>
                  <c:pt idx="273">
                    <c:v>O0274</c:v>
                  </c:pt>
                  <c:pt idx="274">
                    <c:v>O0275</c:v>
                  </c:pt>
                  <c:pt idx="275">
                    <c:v>O0276</c:v>
                  </c:pt>
                  <c:pt idx="276">
                    <c:v>O0277</c:v>
                  </c:pt>
                  <c:pt idx="277">
                    <c:v>O0278</c:v>
                  </c:pt>
                  <c:pt idx="278">
                    <c:v>O0279</c:v>
                  </c:pt>
                  <c:pt idx="279">
                    <c:v>O0280</c:v>
                  </c:pt>
                  <c:pt idx="280">
                    <c:v>O0281</c:v>
                  </c:pt>
                  <c:pt idx="281">
                    <c:v>O0282</c:v>
                  </c:pt>
                  <c:pt idx="282">
                    <c:v>O0283</c:v>
                  </c:pt>
                  <c:pt idx="283">
                    <c:v>O0284</c:v>
                  </c:pt>
                  <c:pt idx="284">
                    <c:v>O0285</c:v>
                  </c:pt>
                  <c:pt idx="285">
                    <c:v>O0286</c:v>
                  </c:pt>
                  <c:pt idx="286">
                    <c:v>O0287</c:v>
                  </c:pt>
                  <c:pt idx="287">
                    <c:v>O0288</c:v>
                  </c:pt>
                  <c:pt idx="288">
                    <c:v>O0289</c:v>
                  </c:pt>
                  <c:pt idx="289">
                    <c:v>O0290</c:v>
                  </c:pt>
                  <c:pt idx="290">
                    <c:v>O0291</c:v>
                  </c:pt>
                  <c:pt idx="291">
                    <c:v>O0292</c:v>
                  </c:pt>
                  <c:pt idx="292">
                    <c:v>O0293</c:v>
                  </c:pt>
                  <c:pt idx="293">
                    <c:v>O0294</c:v>
                  </c:pt>
                  <c:pt idx="294">
                    <c:v>O0295</c:v>
                  </c:pt>
                  <c:pt idx="295">
                    <c:v>O0296</c:v>
                  </c:pt>
                  <c:pt idx="296">
                    <c:v>O0297</c:v>
                  </c:pt>
                  <c:pt idx="297">
                    <c:v>O0298</c:v>
                  </c:pt>
                  <c:pt idx="298">
                    <c:v>O0299</c:v>
                  </c:pt>
                  <c:pt idx="299">
                    <c:v>O0300</c:v>
                  </c:pt>
                </c:lvl>
              </c:multiLvlStrCache>
            </c:multiLvlStrRef>
          </c:cat>
          <c:val>
            <c:numRef>
              <c:f>'Cleaned Data'!$T$2:$T$301</c:f>
              <c:numCache>
                <c:formatCode>General</c:formatCode>
                <c:ptCount val="300"/>
                <c:pt idx="0">
                  <c:v>4243</c:v>
                </c:pt>
                <c:pt idx="1">
                  <c:v>2063.7000000000003</c:v>
                </c:pt>
                <c:pt idx="2">
                  <c:v>445.5</c:v>
                </c:pt>
                <c:pt idx="3">
                  <c:v>809</c:v>
                </c:pt>
                <c:pt idx="4">
                  <c:v>741</c:v>
                </c:pt>
                <c:pt idx="5">
                  <c:v>373.34999999999997</c:v>
                </c:pt>
                <c:pt idx="6">
                  <c:v>3094.4</c:v>
                </c:pt>
                <c:pt idx="7">
                  <c:v>7009.0999999999995</c:v>
                </c:pt>
                <c:pt idx="8">
                  <c:v>3800.7000000000003</c:v>
                </c:pt>
                <c:pt idx="9">
                  <c:v>187.5</c:v>
                </c:pt>
                <c:pt idx="10">
                  <c:v>6852.6</c:v>
                </c:pt>
                <c:pt idx="11">
                  <c:v>932.4</c:v>
                </c:pt>
                <c:pt idx="12">
                  <c:v>647</c:v>
                </c:pt>
                <c:pt idx="13">
                  <c:v>4289.4000000000005</c:v>
                </c:pt>
                <c:pt idx="14">
                  <c:v>2146.5</c:v>
                </c:pt>
                <c:pt idx="15">
                  <c:v>1337.05</c:v>
                </c:pt>
                <c:pt idx="16">
                  <c:v>4091.6499999999996</c:v>
                </c:pt>
                <c:pt idx="17">
                  <c:v>340</c:v>
                </c:pt>
                <c:pt idx="18">
                  <c:v>1523.8</c:v>
                </c:pt>
                <c:pt idx="19">
                  <c:v>715.5</c:v>
                </c:pt>
                <c:pt idx="20">
                  <c:v>4185</c:v>
                </c:pt>
                <c:pt idx="21">
                  <c:v>1765.1</c:v>
                </c:pt>
                <c:pt idx="22">
                  <c:v>3287.7000000000003</c:v>
                </c:pt>
                <c:pt idx="23">
                  <c:v>2085.3000000000002</c:v>
                </c:pt>
                <c:pt idx="24">
                  <c:v>935</c:v>
                </c:pt>
                <c:pt idx="25">
                  <c:v>942</c:v>
                </c:pt>
                <c:pt idx="26">
                  <c:v>838.94999999999993</c:v>
                </c:pt>
                <c:pt idx="27">
                  <c:v>6255.2000000000007</c:v>
                </c:pt>
                <c:pt idx="28">
                  <c:v>1428.8000000000002</c:v>
                </c:pt>
                <c:pt idx="29">
                  <c:v>1899</c:v>
                </c:pt>
                <c:pt idx="30">
                  <c:v>362.25</c:v>
                </c:pt>
                <c:pt idx="31">
                  <c:v>1736</c:v>
                </c:pt>
                <c:pt idx="32">
                  <c:v>2748.0499999999997</c:v>
                </c:pt>
                <c:pt idx="33">
                  <c:v>1816</c:v>
                </c:pt>
                <c:pt idx="34">
                  <c:v>906.1</c:v>
                </c:pt>
                <c:pt idx="35">
                  <c:v>871.2</c:v>
                </c:pt>
                <c:pt idx="36">
                  <c:v>2081.65</c:v>
                </c:pt>
                <c:pt idx="37">
                  <c:v>1557.2</c:v>
                </c:pt>
                <c:pt idx="38">
                  <c:v>1551.75</c:v>
                </c:pt>
                <c:pt idx="39">
                  <c:v>1541.7</c:v>
                </c:pt>
                <c:pt idx="40">
                  <c:v>5749.4</c:v>
                </c:pt>
                <c:pt idx="41">
                  <c:v>486</c:v>
                </c:pt>
                <c:pt idx="42">
                  <c:v>1029</c:v>
                </c:pt>
                <c:pt idx="43">
                  <c:v>349.5</c:v>
                </c:pt>
                <c:pt idx="44">
                  <c:v>826.19999999999993</c:v>
                </c:pt>
                <c:pt idx="45">
                  <c:v>615.20000000000005</c:v>
                </c:pt>
                <c:pt idx="46">
                  <c:v>4392</c:v>
                </c:pt>
                <c:pt idx="47">
                  <c:v>1071</c:v>
                </c:pt>
                <c:pt idx="48">
                  <c:v>724.5</c:v>
                </c:pt>
                <c:pt idx="49">
                  <c:v>5496.0999999999995</c:v>
                </c:pt>
                <c:pt idx="50">
                  <c:v>1830.6000000000001</c:v>
                </c:pt>
                <c:pt idx="51">
                  <c:v>1207.8499999999999</c:v>
                </c:pt>
                <c:pt idx="52">
                  <c:v>1733.25</c:v>
                </c:pt>
                <c:pt idx="53">
                  <c:v>1624.35</c:v>
                </c:pt>
                <c:pt idx="54">
                  <c:v>1710</c:v>
                </c:pt>
                <c:pt idx="55">
                  <c:v>402.75</c:v>
                </c:pt>
                <c:pt idx="56">
                  <c:v>1482</c:v>
                </c:pt>
                <c:pt idx="57">
                  <c:v>1157</c:v>
                </c:pt>
                <c:pt idx="58">
                  <c:v>2120</c:v>
                </c:pt>
                <c:pt idx="59">
                  <c:v>845.75</c:v>
                </c:pt>
                <c:pt idx="60">
                  <c:v>927.2</c:v>
                </c:pt>
                <c:pt idx="61">
                  <c:v>1209.6000000000001</c:v>
                </c:pt>
                <c:pt idx="62">
                  <c:v>2958</c:v>
                </c:pt>
                <c:pt idx="63">
                  <c:v>3181.6000000000004</c:v>
                </c:pt>
                <c:pt idx="64">
                  <c:v>1219.5</c:v>
                </c:pt>
                <c:pt idx="65">
                  <c:v>1636.5</c:v>
                </c:pt>
                <c:pt idx="66">
                  <c:v>761.4</c:v>
                </c:pt>
                <c:pt idx="67">
                  <c:v>1969.35</c:v>
                </c:pt>
                <c:pt idx="68">
                  <c:v>5355.8499999999995</c:v>
                </c:pt>
                <c:pt idx="69">
                  <c:v>789.30000000000007</c:v>
                </c:pt>
                <c:pt idx="70">
                  <c:v>388.5</c:v>
                </c:pt>
                <c:pt idx="71">
                  <c:v>510.15</c:v>
                </c:pt>
                <c:pt idx="72">
                  <c:v>725.8</c:v>
                </c:pt>
                <c:pt idx="73">
                  <c:v>695.25</c:v>
                </c:pt>
                <c:pt idx="74">
                  <c:v>2246</c:v>
                </c:pt>
                <c:pt idx="75">
                  <c:v>985.15</c:v>
                </c:pt>
                <c:pt idx="76">
                  <c:v>1161</c:v>
                </c:pt>
                <c:pt idx="77">
                  <c:v>4697.75</c:v>
                </c:pt>
                <c:pt idx="78">
                  <c:v>2211.6</c:v>
                </c:pt>
                <c:pt idx="79">
                  <c:v>6655.5</c:v>
                </c:pt>
                <c:pt idx="80">
                  <c:v>3290.35</c:v>
                </c:pt>
                <c:pt idx="81">
                  <c:v>1406.75</c:v>
                </c:pt>
                <c:pt idx="82">
                  <c:v>2132.65</c:v>
                </c:pt>
                <c:pt idx="83">
                  <c:v>2529</c:v>
                </c:pt>
                <c:pt idx="84">
                  <c:v>1149.3</c:v>
                </c:pt>
                <c:pt idx="85">
                  <c:v>1004</c:v>
                </c:pt>
                <c:pt idx="86">
                  <c:v>2410.15</c:v>
                </c:pt>
                <c:pt idx="87">
                  <c:v>1863.9</c:v>
                </c:pt>
                <c:pt idx="88">
                  <c:v>2282.25</c:v>
                </c:pt>
                <c:pt idx="89">
                  <c:v>472.59999999999997</c:v>
                </c:pt>
                <c:pt idx="90">
                  <c:v>986.40000000000009</c:v>
                </c:pt>
                <c:pt idx="91">
                  <c:v>1733.1499999999999</c:v>
                </c:pt>
                <c:pt idx="92">
                  <c:v>2133.6</c:v>
                </c:pt>
                <c:pt idx="93">
                  <c:v>2698.2000000000003</c:v>
                </c:pt>
                <c:pt idx="94">
                  <c:v>200</c:v>
                </c:pt>
                <c:pt idx="95">
                  <c:v>5991</c:v>
                </c:pt>
                <c:pt idx="96">
                  <c:v>187.5</c:v>
                </c:pt>
                <c:pt idx="97">
                  <c:v>1197</c:v>
                </c:pt>
                <c:pt idx="98">
                  <c:v>1233</c:v>
                </c:pt>
                <c:pt idx="99">
                  <c:v>2533.5</c:v>
                </c:pt>
                <c:pt idx="100">
                  <c:v>3442.7999999999997</c:v>
                </c:pt>
                <c:pt idx="101">
                  <c:v>1166.4000000000001</c:v>
                </c:pt>
                <c:pt idx="102">
                  <c:v>3163.5</c:v>
                </c:pt>
                <c:pt idx="103">
                  <c:v>646.40000000000009</c:v>
                </c:pt>
                <c:pt idx="104">
                  <c:v>5144.25</c:v>
                </c:pt>
                <c:pt idx="105">
                  <c:v>2295.9</c:v>
                </c:pt>
                <c:pt idx="106">
                  <c:v>2808.75</c:v>
                </c:pt>
                <c:pt idx="107">
                  <c:v>1881.9499999999998</c:v>
                </c:pt>
                <c:pt idx="108">
                  <c:v>1302</c:v>
                </c:pt>
                <c:pt idx="109">
                  <c:v>728.80000000000007</c:v>
                </c:pt>
                <c:pt idx="110">
                  <c:v>3991</c:v>
                </c:pt>
                <c:pt idx="111">
                  <c:v>1961</c:v>
                </c:pt>
                <c:pt idx="112">
                  <c:v>3080</c:v>
                </c:pt>
                <c:pt idx="113">
                  <c:v>4434.3</c:v>
                </c:pt>
                <c:pt idx="114">
                  <c:v>1466.25</c:v>
                </c:pt>
                <c:pt idx="115">
                  <c:v>2793.75</c:v>
                </c:pt>
                <c:pt idx="116">
                  <c:v>1414.8</c:v>
                </c:pt>
                <c:pt idx="117">
                  <c:v>212.5</c:v>
                </c:pt>
                <c:pt idx="118">
                  <c:v>212.5</c:v>
                </c:pt>
                <c:pt idx="119">
                  <c:v>1896.8000000000002</c:v>
                </c:pt>
                <c:pt idx="120">
                  <c:v>1972.5</c:v>
                </c:pt>
                <c:pt idx="121">
                  <c:v>1623</c:v>
                </c:pt>
                <c:pt idx="122">
                  <c:v>526.5</c:v>
                </c:pt>
                <c:pt idx="123">
                  <c:v>1931.25</c:v>
                </c:pt>
                <c:pt idx="124">
                  <c:v>583.94999999999993</c:v>
                </c:pt>
                <c:pt idx="125">
                  <c:v>2938.45</c:v>
                </c:pt>
                <c:pt idx="126">
                  <c:v>1202.75</c:v>
                </c:pt>
                <c:pt idx="127">
                  <c:v>916.3</c:v>
                </c:pt>
                <c:pt idx="128">
                  <c:v>605.25</c:v>
                </c:pt>
                <c:pt idx="129">
                  <c:v>3349.6000000000004</c:v>
                </c:pt>
                <c:pt idx="130">
                  <c:v>200</c:v>
                </c:pt>
                <c:pt idx="131">
                  <c:v>4867.8</c:v>
                </c:pt>
                <c:pt idx="132">
                  <c:v>1728</c:v>
                </c:pt>
                <c:pt idx="133">
                  <c:v>1209.6000000000001</c:v>
                </c:pt>
                <c:pt idx="134">
                  <c:v>1389.75</c:v>
                </c:pt>
                <c:pt idx="135">
                  <c:v>2163.2000000000003</c:v>
                </c:pt>
                <c:pt idx="136">
                  <c:v>794.40000000000009</c:v>
                </c:pt>
                <c:pt idx="137">
                  <c:v>1639.8</c:v>
                </c:pt>
                <c:pt idx="138">
                  <c:v>1795.5</c:v>
                </c:pt>
                <c:pt idx="139">
                  <c:v>476</c:v>
                </c:pt>
                <c:pt idx="140">
                  <c:v>1239</c:v>
                </c:pt>
                <c:pt idx="141">
                  <c:v>4159</c:v>
                </c:pt>
                <c:pt idx="142">
                  <c:v>2241</c:v>
                </c:pt>
                <c:pt idx="143">
                  <c:v>1277.6000000000001</c:v>
                </c:pt>
                <c:pt idx="144">
                  <c:v>2681.25</c:v>
                </c:pt>
                <c:pt idx="145">
                  <c:v>611.25</c:v>
                </c:pt>
                <c:pt idx="146">
                  <c:v>1173.6000000000001</c:v>
                </c:pt>
                <c:pt idx="147">
                  <c:v>471.2</c:v>
                </c:pt>
                <c:pt idx="148">
                  <c:v>1275</c:v>
                </c:pt>
                <c:pt idx="149">
                  <c:v>4431</c:v>
                </c:pt>
                <c:pt idx="150">
                  <c:v>7526</c:v>
                </c:pt>
                <c:pt idx="151">
                  <c:v>1939.7</c:v>
                </c:pt>
                <c:pt idx="152">
                  <c:v>6171</c:v>
                </c:pt>
                <c:pt idx="153">
                  <c:v>1297.5</c:v>
                </c:pt>
                <c:pt idx="154">
                  <c:v>1502.8999999999999</c:v>
                </c:pt>
                <c:pt idx="155">
                  <c:v>1150.45</c:v>
                </c:pt>
                <c:pt idx="156">
                  <c:v>943.2</c:v>
                </c:pt>
                <c:pt idx="157">
                  <c:v>5165.1499999999996</c:v>
                </c:pt>
                <c:pt idx="158">
                  <c:v>5634</c:v>
                </c:pt>
                <c:pt idx="159">
                  <c:v>926</c:v>
                </c:pt>
                <c:pt idx="160">
                  <c:v>551</c:v>
                </c:pt>
                <c:pt idx="161">
                  <c:v>1503</c:v>
                </c:pt>
                <c:pt idx="162">
                  <c:v>3323.25</c:v>
                </c:pt>
                <c:pt idx="163">
                  <c:v>1093.6000000000001</c:v>
                </c:pt>
                <c:pt idx="164">
                  <c:v>4134.4000000000005</c:v>
                </c:pt>
                <c:pt idx="165">
                  <c:v>5513</c:v>
                </c:pt>
                <c:pt idx="166">
                  <c:v>3661.5</c:v>
                </c:pt>
                <c:pt idx="167">
                  <c:v>9059.1999999999989</c:v>
                </c:pt>
                <c:pt idx="168">
                  <c:v>250</c:v>
                </c:pt>
                <c:pt idx="169">
                  <c:v>760.75</c:v>
                </c:pt>
                <c:pt idx="170">
                  <c:v>4824</c:v>
                </c:pt>
                <c:pt idx="171">
                  <c:v>6332.5</c:v>
                </c:pt>
                <c:pt idx="172">
                  <c:v>801.6</c:v>
                </c:pt>
                <c:pt idx="173">
                  <c:v>294.95</c:v>
                </c:pt>
                <c:pt idx="174">
                  <c:v>605.25</c:v>
                </c:pt>
                <c:pt idx="175">
                  <c:v>1935</c:v>
                </c:pt>
                <c:pt idx="176">
                  <c:v>1671.1</c:v>
                </c:pt>
                <c:pt idx="177">
                  <c:v>960.80000000000007</c:v>
                </c:pt>
                <c:pt idx="178">
                  <c:v>326.25</c:v>
                </c:pt>
                <c:pt idx="179">
                  <c:v>958.5</c:v>
                </c:pt>
                <c:pt idx="180">
                  <c:v>743.2</c:v>
                </c:pt>
                <c:pt idx="181">
                  <c:v>5888.25</c:v>
                </c:pt>
                <c:pt idx="182">
                  <c:v>2042.55</c:v>
                </c:pt>
                <c:pt idx="183">
                  <c:v>237.5</c:v>
                </c:pt>
                <c:pt idx="184">
                  <c:v>318.75</c:v>
                </c:pt>
                <c:pt idx="185">
                  <c:v>896</c:v>
                </c:pt>
                <c:pt idx="186">
                  <c:v>2234.7000000000003</c:v>
                </c:pt>
                <c:pt idx="187">
                  <c:v>1202</c:v>
                </c:pt>
                <c:pt idx="188">
                  <c:v>2437.6</c:v>
                </c:pt>
                <c:pt idx="189">
                  <c:v>4502.7</c:v>
                </c:pt>
                <c:pt idx="190">
                  <c:v>3077</c:v>
                </c:pt>
                <c:pt idx="191">
                  <c:v>250</c:v>
                </c:pt>
                <c:pt idx="192">
                  <c:v>1193</c:v>
                </c:pt>
                <c:pt idx="193">
                  <c:v>1762</c:v>
                </c:pt>
                <c:pt idx="194">
                  <c:v>4200</c:v>
                </c:pt>
                <c:pt idx="195">
                  <c:v>815.09999999999991</c:v>
                </c:pt>
                <c:pt idx="196">
                  <c:v>1518.95</c:v>
                </c:pt>
                <c:pt idx="197">
                  <c:v>1671.05</c:v>
                </c:pt>
                <c:pt idx="198">
                  <c:v>627</c:v>
                </c:pt>
                <c:pt idx="199">
                  <c:v>2583</c:v>
                </c:pt>
                <c:pt idx="200">
                  <c:v>4885.8499999999995</c:v>
                </c:pt>
                <c:pt idx="201">
                  <c:v>1155.1499999999999</c:v>
                </c:pt>
                <c:pt idx="202">
                  <c:v>1405.8999999999999</c:v>
                </c:pt>
                <c:pt idx="203">
                  <c:v>1080.8</c:v>
                </c:pt>
                <c:pt idx="204">
                  <c:v>2614.6</c:v>
                </c:pt>
                <c:pt idx="205">
                  <c:v>4119.3</c:v>
                </c:pt>
                <c:pt idx="206">
                  <c:v>661.5</c:v>
                </c:pt>
                <c:pt idx="207">
                  <c:v>1534.25</c:v>
                </c:pt>
                <c:pt idx="208">
                  <c:v>2366.1</c:v>
                </c:pt>
                <c:pt idx="209">
                  <c:v>8785.8000000000011</c:v>
                </c:pt>
                <c:pt idx="210">
                  <c:v>1251.1499999999999</c:v>
                </c:pt>
                <c:pt idx="211">
                  <c:v>1099</c:v>
                </c:pt>
                <c:pt idx="212">
                  <c:v>349.6</c:v>
                </c:pt>
                <c:pt idx="213">
                  <c:v>891.65</c:v>
                </c:pt>
                <c:pt idx="214">
                  <c:v>1293.8999999999999</c:v>
                </c:pt>
                <c:pt idx="215">
                  <c:v>2297.1</c:v>
                </c:pt>
                <c:pt idx="216">
                  <c:v>2470.9499999999998</c:v>
                </c:pt>
                <c:pt idx="217">
                  <c:v>2068</c:v>
                </c:pt>
                <c:pt idx="218">
                  <c:v>2192</c:v>
                </c:pt>
                <c:pt idx="219">
                  <c:v>729.3</c:v>
                </c:pt>
                <c:pt idx="220">
                  <c:v>2199.6</c:v>
                </c:pt>
                <c:pt idx="221">
                  <c:v>687.2</c:v>
                </c:pt>
                <c:pt idx="222">
                  <c:v>709.65</c:v>
                </c:pt>
                <c:pt idx="223">
                  <c:v>1845.6000000000001</c:v>
                </c:pt>
                <c:pt idx="224">
                  <c:v>2982.6</c:v>
                </c:pt>
                <c:pt idx="225">
                  <c:v>1322.1000000000001</c:v>
                </c:pt>
                <c:pt idx="226">
                  <c:v>1456.35</c:v>
                </c:pt>
                <c:pt idx="227">
                  <c:v>2386.4</c:v>
                </c:pt>
                <c:pt idx="228">
                  <c:v>2228.6999999999998</c:v>
                </c:pt>
                <c:pt idx="229">
                  <c:v>2473.5</c:v>
                </c:pt>
                <c:pt idx="230">
                  <c:v>4879.2</c:v>
                </c:pt>
                <c:pt idx="231">
                  <c:v>1609.3</c:v>
                </c:pt>
                <c:pt idx="232">
                  <c:v>773.5</c:v>
                </c:pt>
                <c:pt idx="233">
                  <c:v>2508</c:v>
                </c:pt>
                <c:pt idx="234">
                  <c:v>799.85</c:v>
                </c:pt>
                <c:pt idx="235">
                  <c:v>2787.2999999999997</c:v>
                </c:pt>
                <c:pt idx="236">
                  <c:v>1082.4000000000001</c:v>
                </c:pt>
                <c:pt idx="237">
                  <c:v>834.69999999999993</c:v>
                </c:pt>
                <c:pt idx="238">
                  <c:v>288</c:v>
                </c:pt>
                <c:pt idx="239">
                  <c:v>918</c:v>
                </c:pt>
                <c:pt idx="240">
                  <c:v>3269.7000000000003</c:v>
                </c:pt>
                <c:pt idx="241">
                  <c:v>5192.7</c:v>
                </c:pt>
                <c:pt idx="242">
                  <c:v>3275.2000000000003</c:v>
                </c:pt>
                <c:pt idx="243">
                  <c:v>648.54999999999995</c:v>
                </c:pt>
                <c:pt idx="244">
                  <c:v>968</c:v>
                </c:pt>
                <c:pt idx="245">
                  <c:v>2575.5</c:v>
                </c:pt>
                <c:pt idx="246">
                  <c:v>1801.8</c:v>
                </c:pt>
                <c:pt idx="247">
                  <c:v>1768</c:v>
                </c:pt>
                <c:pt idx="248">
                  <c:v>1006.05</c:v>
                </c:pt>
                <c:pt idx="249">
                  <c:v>1097.3499999999999</c:v>
                </c:pt>
                <c:pt idx="250">
                  <c:v>1022.4000000000001</c:v>
                </c:pt>
                <c:pt idx="251">
                  <c:v>237.5</c:v>
                </c:pt>
                <c:pt idx="252">
                  <c:v>1457.25</c:v>
                </c:pt>
                <c:pt idx="253">
                  <c:v>635</c:v>
                </c:pt>
                <c:pt idx="254">
                  <c:v>2090.15</c:v>
                </c:pt>
                <c:pt idx="255">
                  <c:v>1398</c:v>
                </c:pt>
                <c:pt idx="256">
                  <c:v>750.6</c:v>
                </c:pt>
                <c:pt idx="257">
                  <c:v>569.04999999999995</c:v>
                </c:pt>
                <c:pt idx="258">
                  <c:v>2287</c:v>
                </c:pt>
                <c:pt idx="259">
                  <c:v>834.75</c:v>
                </c:pt>
                <c:pt idx="260">
                  <c:v>672</c:v>
                </c:pt>
                <c:pt idx="261">
                  <c:v>1456</c:v>
                </c:pt>
                <c:pt idx="262">
                  <c:v>1509</c:v>
                </c:pt>
                <c:pt idx="263">
                  <c:v>1963.5</c:v>
                </c:pt>
                <c:pt idx="264">
                  <c:v>1328</c:v>
                </c:pt>
                <c:pt idx="265">
                  <c:v>429.6</c:v>
                </c:pt>
                <c:pt idx="266">
                  <c:v>760</c:v>
                </c:pt>
                <c:pt idx="267">
                  <c:v>420.84999999999997</c:v>
                </c:pt>
                <c:pt idx="268">
                  <c:v>1702.4</c:v>
                </c:pt>
                <c:pt idx="269">
                  <c:v>859.5</c:v>
                </c:pt>
                <c:pt idx="270">
                  <c:v>1942</c:v>
                </c:pt>
                <c:pt idx="271">
                  <c:v>1383.3</c:v>
                </c:pt>
                <c:pt idx="272">
                  <c:v>1026.8</c:v>
                </c:pt>
                <c:pt idx="273">
                  <c:v>4126.4000000000005</c:v>
                </c:pt>
                <c:pt idx="274">
                  <c:v>1678.4</c:v>
                </c:pt>
                <c:pt idx="275">
                  <c:v>2078.4</c:v>
                </c:pt>
                <c:pt idx="276">
                  <c:v>798</c:v>
                </c:pt>
                <c:pt idx="277">
                  <c:v>1247</c:v>
                </c:pt>
                <c:pt idx="278">
                  <c:v>634.40000000000009</c:v>
                </c:pt>
                <c:pt idx="279">
                  <c:v>824.25</c:v>
                </c:pt>
                <c:pt idx="280">
                  <c:v>333</c:v>
                </c:pt>
                <c:pt idx="281">
                  <c:v>1105.8</c:v>
                </c:pt>
                <c:pt idx="282">
                  <c:v>556.20000000000005</c:v>
                </c:pt>
                <c:pt idx="283">
                  <c:v>2557.4</c:v>
                </c:pt>
                <c:pt idx="284">
                  <c:v>1038.4000000000001</c:v>
                </c:pt>
                <c:pt idx="285">
                  <c:v>745.6</c:v>
                </c:pt>
                <c:pt idx="286">
                  <c:v>4806.05</c:v>
                </c:pt>
                <c:pt idx="287">
                  <c:v>1378</c:v>
                </c:pt>
                <c:pt idx="288">
                  <c:v>524.25</c:v>
                </c:pt>
                <c:pt idx="289">
                  <c:v>1240.1499999999999</c:v>
                </c:pt>
                <c:pt idx="290">
                  <c:v>1543.2</c:v>
                </c:pt>
                <c:pt idx="291">
                  <c:v>2424.4</c:v>
                </c:pt>
                <c:pt idx="292">
                  <c:v>1124.8</c:v>
                </c:pt>
                <c:pt idx="293">
                  <c:v>1436.8000000000002</c:v>
                </c:pt>
                <c:pt idx="294">
                  <c:v>3310.75</c:v>
                </c:pt>
                <c:pt idx="295">
                  <c:v>2169</c:v>
                </c:pt>
                <c:pt idx="296">
                  <c:v>273.60000000000002</c:v>
                </c:pt>
                <c:pt idx="297">
                  <c:v>1656.8000000000002</c:v>
                </c:pt>
                <c:pt idx="298">
                  <c:v>3657.6000000000004</c:v>
                </c:pt>
                <c:pt idx="299">
                  <c:v>1133.6000000000001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F5-4F2F-9FF8-6E808D4A5856}"/>
            </c:ext>
          </c:extLst>
        </c:ser>
        <c:ser>
          <c:idx val="1"/>
          <c:order val="1"/>
          <c:tx>
            <c:strRef>
              <c:f>'Cleaned Data'!$U$1</c:f>
              <c:strCache>
                <c:ptCount val="1"/>
                <c:pt idx="0">
                  <c:v>Late Flag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'Cleaned Data'!$A$2:$S$301</c:f>
              <c:multiLvlStrCache>
                <c:ptCount val="300"/>
                <c:lvl>
                  <c:pt idx="0">
                    <c:v>Completed</c:v>
                  </c:pt>
                  <c:pt idx="1">
                    <c:v>Completed</c:v>
                  </c:pt>
                  <c:pt idx="2">
                    <c:v>Completed</c:v>
                  </c:pt>
                  <c:pt idx="3">
                    <c:v>Completed</c:v>
                  </c:pt>
                  <c:pt idx="4">
                    <c:v>Completed</c:v>
                  </c:pt>
                  <c:pt idx="5">
                    <c:v>Completed</c:v>
                  </c:pt>
                  <c:pt idx="6">
                    <c:v>Completed</c:v>
                  </c:pt>
                  <c:pt idx="7">
                    <c:v>Completed</c:v>
                  </c:pt>
                  <c:pt idx="8">
                    <c:v>Completed</c:v>
                  </c:pt>
                  <c:pt idx="9">
                    <c:v>Completed</c:v>
                  </c:pt>
                  <c:pt idx="10">
                    <c:v>Completed</c:v>
                  </c:pt>
                  <c:pt idx="11">
                    <c:v>Completed</c:v>
                  </c:pt>
                  <c:pt idx="12">
                    <c:v>Completed</c:v>
                  </c:pt>
                  <c:pt idx="13">
                    <c:v>Completed</c:v>
                  </c:pt>
                  <c:pt idx="14">
                    <c:v>Completed</c:v>
                  </c:pt>
                  <c:pt idx="15">
                    <c:v>Completed</c:v>
                  </c:pt>
                  <c:pt idx="16">
                    <c:v>Completed</c:v>
                  </c:pt>
                  <c:pt idx="17">
                    <c:v>Completed</c:v>
                  </c:pt>
                  <c:pt idx="18">
                    <c:v>Cancelled</c:v>
                  </c:pt>
                  <c:pt idx="19">
                    <c:v>Completed</c:v>
                  </c:pt>
                  <c:pt idx="20">
                    <c:v>Completed</c:v>
                  </c:pt>
                  <c:pt idx="21">
                    <c:v>Completed</c:v>
                  </c:pt>
                  <c:pt idx="22">
                    <c:v>Completed</c:v>
                  </c:pt>
                  <c:pt idx="23">
                    <c:v>Completed</c:v>
                  </c:pt>
                  <c:pt idx="24">
                    <c:v>Completed</c:v>
                  </c:pt>
                  <c:pt idx="25">
                    <c:v>Cancelled</c:v>
                  </c:pt>
                  <c:pt idx="26">
                    <c:v>Completed</c:v>
                  </c:pt>
                  <c:pt idx="27">
                    <c:v>Completed</c:v>
                  </c:pt>
                  <c:pt idx="28">
                    <c:v>Completed</c:v>
                  </c:pt>
                  <c:pt idx="29">
                    <c:v>Completed</c:v>
                  </c:pt>
                  <c:pt idx="30">
                    <c:v>Completed</c:v>
                  </c:pt>
                  <c:pt idx="31">
                    <c:v>Completed</c:v>
                  </c:pt>
                  <c:pt idx="32">
                    <c:v>Completed</c:v>
                  </c:pt>
                  <c:pt idx="33">
                    <c:v>Completed</c:v>
                  </c:pt>
                  <c:pt idx="34">
                    <c:v>Completed</c:v>
                  </c:pt>
                  <c:pt idx="35">
                    <c:v>Completed</c:v>
                  </c:pt>
                  <c:pt idx="36">
                    <c:v>Completed</c:v>
                  </c:pt>
                  <c:pt idx="37">
                    <c:v>Completed</c:v>
                  </c:pt>
                  <c:pt idx="38">
                    <c:v>Completed</c:v>
                  </c:pt>
                  <c:pt idx="39">
                    <c:v>Completed</c:v>
                  </c:pt>
                  <c:pt idx="40">
                    <c:v>Completed</c:v>
                  </c:pt>
                  <c:pt idx="41">
                    <c:v>Completed</c:v>
                  </c:pt>
                  <c:pt idx="42">
                    <c:v>Completed</c:v>
                  </c:pt>
                  <c:pt idx="43">
                    <c:v>Completed</c:v>
                  </c:pt>
                  <c:pt idx="44">
                    <c:v>Completed</c:v>
                  </c:pt>
                  <c:pt idx="45">
                    <c:v>Completed</c:v>
                  </c:pt>
                  <c:pt idx="46">
                    <c:v>Completed</c:v>
                  </c:pt>
                  <c:pt idx="47">
                    <c:v>Completed</c:v>
                  </c:pt>
                  <c:pt idx="48">
                    <c:v>Completed</c:v>
                  </c:pt>
                  <c:pt idx="49">
                    <c:v>Completed</c:v>
                  </c:pt>
                  <c:pt idx="50">
                    <c:v>Completed</c:v>
                  </c:pt>
                  <c:pt idx="51">
                    <c:v>Completed</c:v>
                  </c:pt>
                  <c:pt idx="52">
                    <c:v>Completed</c:v>
                  </c:pt>
                  <c:pt idx="53">
                    <c:v>Completed</c:v>
                  </c:pt>
                  <c:pt idx="54">
                    <c:v>Completed</c:v>
                  </c:pt>
                  <c:pt idx="55">
                    <c:v>Completed</c:v>
                  </c:pt>
                  <c:pt idx="56">
                    <c:v>Completed</c:v>
                  </c:pt>
                  <c:pt idx="57">
                    <c:v>Completed</c:v>
                  </c:pt>
                  <c:pt idx="58">
                    <c:v>Completed</c:v>
                  </c:pt>
                  <c:pt idx="59">
                    <c:v>Completed</c:v>
                  </c:pt>
                  <c:pt idx="60">
                    <c:v>Completed</c:v>
                  </c:pt>
                  <c:pt idx="61">
                    <c:v>Completed</c:v>
                  </c:pt>
                  <c:pt idx="62">
                    <c:v>Completed</c:v>
                  </c:pt>
                  <c:pt idx="63">
                    <c:v>Returned</c:v>
                  </c:pt>
                  <c:pt idx="64">
                    <c:v>Completed</c:v>
                  </c:pt>
                  <c:pt idx="65">
                    <c:v>Completed</c:v>
                  </c:pt>
                  <c:pt idx="66">
                    <c:v>Completed</c:v>
                  </c:pt>
                  <c:pt idx="67">
                    <c:v>Completed</c:v>
                  </c:pt>
                  <c:pt idx="68">
                    <c:v>Completed</c:v>
                  </c:pt>
                  <c:pt idx="69">
                    <c:v>Completed</c:v>
                  </c:pt>
                  <c:pt idx="70">
                    <c:v>Completed</c:v>
                  </c:pt>
                  <c:pt idx="71">
                    <c:v>Completed</c:v>
                  </c:pt>
                  <c:pt idx="72">
                    <c:v>Completed</c:v>
                  </c:pt>
                  <c:pt idx="73">
                    <c:v>Completed</c:v>
                  </c:pt>
                  <c:pt idx="74">
                    <c:v>Completed</c:v>
                  </c:pt>
                  <c:pt idx="75">
                    <c:v>Completed</c:v>
                  </c:pt>
                  <c:pt idx="76">
                    <c:v>Completed</c:v>
                  </c:pt>
                  <c:pt idx="77">
                    <c:v>Completed</c:v>
                  </c:pt>
                  <c:pt idx="78">
                    <c:v>Returned</c:v>
                  </c:pt>
                  <c:pt idx="79">
                    <c:v>Completed</c:v>
                  </c:pt>
                  <c:pt idx="80">
                    <c:v>Completed</c:v>
                  </c:pt>
                  <c:pt idx="81">
                    <c:v>Completed</c:v>
                  </c:pt>
                  <c:pt idx="82">
                    <c:v>Completed</c:v>
                  </c:pt>
                  <c:pt idx="83">
                    <c:v>Completed</c:v>
                  </c:pt>
                  <c:pt idx="84">
                    <c:v>Completed</c:v>
                  </c:pt>
                  <c:pt idx="85">
                    <c:v>Returned</c:v>
                  </c:pt>
                  <c:pt idx="86">
                    <c:v>Returned</c:v>
                  </c:pt>
                  <c:pt idx="87">
                    <c:v>Completed</c:v>
                  </c:pt>
                  <c:pt idx="88">
                    <c:v>Completed</c:v>
                  </c:pt>
                  <c:pt idx="89">
                    <c:v>Completed</c:v>
                  </c:pt>
                  <c:pt idx="90">
                    <c:v>Completed</c:v>
                  </c:pt>
                  <c:pt idx="91">
                    <c:v>Completed</c:v>
                  </c:pt>
                  <c:pt idx="92">
                    <c:v>Completed</c:v>
                  </c:pt>
                  <c:pt idx="93">
                    <c:v>Completed</c:v>
                  </c:pt>
                  <c:pt idx="94">
                    <c:v>Completed</c:v>
                  </c:pt>
                  <c:pt idx="95">
                    <c:v>Cancelled</c:v>
                  </c:pt>
                  <c:pt idx="96">
                    <c:v>Completed</c:v>
                  </c:pt>
                  <c:pt idx="97">
                    <c:v>Completed</c:v>
                  </c:pt>
                  <c:pt idx="98">
                    <c:v>Completed</c:v>
                  </c:pt>
                  <c:pt idx="99">
                    <c:v>Completed</c:v>
                  </c:pt>
                  <c:pt idx="100">
                    <c:v>Completed</c:v>
                  </c:pt>
                  <c:pt idx="101">
                    <c:v>Completed</c:v>
                  </c:pt>
                  <c:pt idx="102">
                    <c:v>Completed</c:v>
                  </c:pt>
                  <c:pt idx="103">
                    <c:v>Completed</c:v>
                  </c:pt>
                  <c:pt idx="104">
                    <c:v>Completed</c:v>
                  </c:pt>
                  <c:pt idx="105">
                    <c:v>Completed</c:v>
                  </c:pt>
                  <c:pt idx="106">
                    <c:v>Completed</c:v>
                  </c:pt>
                  <c:pt idx="107">
                    <c:v>Completed</c:v>
                  </c:pt>
                  <c:pt idx="108">
                    <c:v>Completed</c:v>
                  </c:pt>
                  <c:pt idx="109">
                    <c:v>Returned</c:v>
                  </c:pt>
                  <c:pt idx="110">
                    <c:v>Completed</c:v>
                  </c:pt>
                  <c:pt idx="111">
                    <c:v>Completed</c:v>
                  </c:pt>
                  <c:pt idx="112">
                    <c:v>Completed</c:v>
                  </c:pt>
                  <c:pt idx="113">
                    <c:v>Completed</c:v>
                  </c:pt>
                  <c:pt idx="114">
                    <c:v>Completed</c:v>
                  </c:pt>
                  <c:pt idx="115">
                    <c:v>Cancelled</c:v>
                  </c:pt>
                  <c:pt idx="116">
                    <c:v>Completed</c:v>
                  </c:pt>
                  <c:pt idx="117">
                    <c:v>Completed</c:v>
                  </c:pt>
                  <c:pt idx="118">
                    <c:v>Completed</c:v>
                  </c:pt>
                  <c:pt idx="119">
                    <c:v>Completed</c:v>
                  </c:pt>
                  <c:pt idx="120">
                    <c:v>Completed</c:v>
                  </c:pt>
                  <c:pt idx="121">
                    <c:v>Completed</c:v>
                  </c:pt>
                  <c:pt idx="122">
                    <c:v>Completed</c:v>
                  </c:pt>
                  <c:pt idx="123">
                    <c:v>Completed</c:v>
                  </c:pt>
                  <c:pt idx="124">
                    <c:v>Completed</c:v>
                  </c:pt>
                  <c:pt idx="125">
                    <c:v>Completed</c:v>
                  </c:pt>
                  <c:pt idx="126">
                    <c:v>Completed</c:v>
                  </c:pt>
                  <c:pt idx="127">
                    <c:v>Completed</c:v>
                  </c:pt>
                  <c:pt idx="128">
                    <c:v>Completed</c:v>
                  </c:pt>
                  <c:pt idx="129">
                    <c:v>Completed</c:v>
                  </c:pt>
                  <c:pt idx="130">
                    <c:v>Returned</c:v>
                  </c:pt>
                  <c:pt idx="131">
                    <c:v>Completed</c:v>
                  </c:pt>
                  <c:pt idx="132">
                    <c:v>Completed</c:v>
                  </c:pt>
                  <c:pt idx="133">
                    <c:v>Completed</c:v>
                  </c:pt>
                  <c:pt idx="134">
                    <c:v>Completed</c:v>
                  </c:pt>
                  <c:pt idx="135">
                    <c:v>Completed</c:v>
                  </c:pt>
                  <c:pt idx="136">
                    <c:v>Completed</c:v>
                  </c:pt>
                  <c:pt idx="137">
                    <c:v>Completed</c:v>
                  </c:pt>
                  <c:pt idx="138">
                    <c:v>Completed</c:v>
                  </c:pt>
                  <c:pt idx="139">
                    <c:v>Completed</c:v>
                  </c:pt>
                  <c:pt idx="140">
                    <c:v>Completed</c:v>
                  </c:pt>
                  <c:pt idx="141">
                    <c:v>Completed</c:v>
                  </c:pt>
                  <c:pt idx="142">
                    <c:v>Completed</c:v>
                  </c:pt>
                  <c:pt idx="143">
                    <c:v>Completed</c:v>
                  </c:pt>
                  <c:pt idx="144">
                    <c:v>Completed</c:v>
                  </c:pt>
                  <c:pt idx="145">
                    <c:v>Completed</c:v>
                  </c:pt>
                  <c:pt idx="146">
                    <c:v>Completed</c:v>
                  </c:pt>
                  <c:pt idx="147">
                    <c:v>Completed</c:v>
                  </c:pt>
                  <c:pt idx="148">
                    <c:v>Returned</c:v>
                  </c:pt>
                  <c:pt idx="149">
                    <c:v>Completed</c:v>
                  </c:pt>
                  <c:pt idx="150">
                    <c:v>Returned</c:v>
                  </c:pt>
                  <c:pt idx="151">
                    <c:v>Completed</c:v>
                  </c:pt>
                  <c:pt idx="152">
                    <c:v>Completed</c:v>
                  </c:pt>
                  <c:pt idx="153">
                    <c:v>Completed</c:v>
                  </c:pt>
                  <c:pt idx="154">
                    <c:v>Completed</c:v>
                  </c:pt>
                  <c:pt idx="155">
                    <c:v>Completed</c:v>
                  </c:pt>
                  <c:pt idx="156">
                    <c:v>Returned</c:v>
                  </c:pt>
                  <c:pt idx="157">
                    <c:v>Completed</c:v>
                  </c:pt>
                  <c:pt idx="158">
                    <c:v>Completed</c:v>
                  </c:pt>
                  <c:pt idx="159">
                    <c:v>Completed</c:v>
                  </c:pt>
                  <c:pt idx="160">
                    <c:v>Completed</c:v>
                  </c:pt>
                  <c:pt idx="161">
                    <c:v>Completed</c:v>
                  </c:pt>
                  <c:pt idx="162">
                    <c:v>Completed</c:v>
                  </c:pt>
                  <c:pt idx="163">
                    <c:v>Completed</c:v>
                  </c:pt>
                  <c:pt idx="164">
                    <c:v>Completed</c:v>
                  </c:pt>
                  <c:pt idx="165">
                    <c:v>Completed</c:v>
                  </c:pt>
                  <c:pt idx="166">
                    <c:v>Completed</c:v>
                  </c:pt>
                  <c:pt idx="167">
                    <c:v>Completed</c:v>
                  </c:pt>
                  <c:pt idx="168">
                    <c:v>Completed</c:v>
                  </c:pt>
                  <c:pt idx="169">
                    <c:v>Completed</c:v>
                  </c:pt>
                  <c:pt idx="170">
                    <c:v>Completed</c:v>
                  </c:pt>
                  <c:pt idx="171">
                    <c:v>Completed</c:v>
                  </c:pt>
                  <c:pt idx="172">
                    <c:v>Completed</c:v>
                  </c:pt>
                  <c:pt idx="173">
                    <c:v>Completed</c:v>
                  </c:pt>
                  <c:pt idx="174">
                    <c:v>Completed</c:v>
                  </c:pt>
                  <c:pt idx="175">
                    <c:v>Completed</c:v>
                  </c:pt>
                  <c:pt idx="176">
                    <c:v>Completed</c:v>
                  </c:pt>
                  <c:pt idx="177">
                    <c:v>Completed</c:v>
                  </c:pt>
                  <c:pt idx="178">
                    <c:v>Completed</c:v>
                  </c:pt>
                  <c:pt idx="179">
                    <c:v>Completed</c:v>
                  </c:pt>
                  <c:pt idx="180">
                    <c:v>Completed</c:v>
                  </c:pt>
                  <c:pt idx="181">
                    <c:v>Completed</c:v>
                  </c:pt>
                  <c:pt idx="182">
                    <c:v>Completed</c:v>
                  </c:pt>
                  <c:pt idx="183">
                    <c:v>Completed</c:v>
                  </c:pt>
                  <c:pt idx="184">
                    <c:v>Completed</c:v>
                  </c:pt>
                  <c:pt idx="185">
                    <c:v>Completed</c:v>
                  </c:pt>
                  <c:pt idx="186">
                    <c:v>Completed</c:v>
                  </c:pt>
                  <c:pt idx="187">
                    <c:v>Completed</c:v>
                  </c:pt>
                  <c:pt idx="188">
                    <c:v>Completed</c:v>
                  </c:pt>
                  <c:pt idx="189">
                    <c:v>Completed</c:v>
                  </c:pt>
                  <c:pt idx="190">
                    <c:v>Completed</c:v>
                  </c:pt>
                  <c:pt idx="191">
                    <c:v>Completed</c:v>
                  </c:pt>
                  <c:pt idx="192">
                    <c:v>Completed</c:v>
                  </c:pt>
                  <c:pt idx="193">
                    <c:v>Completed</c:v>
                  </c:pt>
                  <c:pt idx="194">
                    <c:v>Completed</c:v>
                  </c:pt>
                  <c:pt idx="195">
                    <c:v>Completed</c:v>
                  </c:pt>
                  <c:pt idx="196">
                    <c:v>Completed</c:v>
                  </c:pt>
                  <c:pt idx="197">
                    <c:v>Completed</c:v>
                  </c:pt>
                  <c:pt idx="198">
                    <c:v>Completed</c:v>
                  </c:pt>
                  <c:pt idx="199">
                    <c:v>Completed</c:v>
                  </c:pt>
                  <c:pt idx="200">
                    <c:v>Completed</c:v>
                  </c:pt>
                  <c:pt idx="201">
                    <c:v>Completed</c:v>
                  </c:pt>
                  <c:pt idx="202">
                    <c:v>Completed</c:v>
                  </c:pt>
                  <c:pt idx="203">
                    <c:v>Completed</c:v>
                  </c:pt>
                  <c:pt idx="204">
                    <c:v>Completed</c:v>
                  </c:pt>
                  <c:pt idx="205">
                    <c:v>Completed</c:v>
                  </c:pt>
                  <c:pt idx="206">
                    <c:v>Completed</c:v>
                  </c:pt>
                  <c:pt idx="207">
                    <c:v>Completed</c:v>
                  </c:pt>
                  <c:pt idx="208">
                    <c:v>Completed</c:v>
                  </c:pt>
                  <c:pt idx="209">
                    <c:v>Completed</c:v>
                  </c:pt>
                  <c:pt idx="210">
                    <c:v>Completed</c:v>
                  </c:pt>
                  <c:pt idx="211">
                    <c:v>Completed</c:v>
                  </c:pt>
                  <c:pt idx="212">
                    <c:v>Completed</c:v>
                  </c:pt>
                  <c:pt idx="213">
                    <c:v>Completed</c:v>
                  </c:pt>
                  <c:pt idx="214">
                    <c:v>Completed</c:v>
                  </c:pt>
                  <c:pt idx="215">
                    <c:v>Completed</c:v>
                  </c:pt>
                  <c:pt idx="216">
                    <c:v>Completed</c:v>
                  </c:pt>
                  <c:pt idx="217">
                    <c:v>Completed</c:v>
                  </c:pt>
                  <c:pt idx="218">
                    <c:v>Completed</c:v>
                  </c:pt>
                  <c:pt idx="219">
                    <c:v>Completed</c:v>
                  </c:pt>
                  <c:pt idx="220">
                    <c:v>Completed</c:v>
                  </c:pt>
                  <c:pt idx="221">
                    <c:v>Completed</c:v>
                  </c:pt>
                  <c:pt idx="222">
                    <c:v>Cancelled</c:v>
                  </c:pt>
                  <c:pt idx="223">
                    <c:v>Completed</c:v>
                  </c:pt>
                  <c:pt idx="224">
                    <c:v>Completed</c:v>
                  </c:pt>
                  <c:pt idx="225">
                    <c:v>Completed</c:v>
                  </c:pt>
                  <c:pt idx="226">
                    <c:v>Cancelled</c:v>
                  </c:pt>
                  <c:pt idx="227">
                    <c:v>Completed</c:v>
                  </c:pt>
                  <c:pt idx="228">
                    <c:v>Completed</c:v>
                  </c:pt>
                  <c:pt idx="229">
                    <c:v>Completed</c:v>
                  </c:pt>
                  <c:pt idx="230">
                    <c:v>Completed</c:v>
                  </c:pt>
                  <c:pt idx="231">
                    <c:v>Completed</c:v>
                  </c:pt>
                  <c:pt idx="232">
                    <c:v>Completed</c:v>
                  </c:pt>
                  <c:pt idx="233">
                    <c:v>Completed</c:v>
                  </c:pt>
                  <c:pt idx="234">
                    <c:v>Completed</c:v>
                  </c:pt>
                  <c:pt idx="235">
                    <c:v>Completed</c:v>
                  </c:pt>
                  <c:pt idx="236">
                    <c:v>Completed</c:v>
                  </c:pt>
                  <c:pt idx="237">
                    <c:v>Completed</c:v>
                  </c:pt>
                  <c:pt idx="238">
                    <c:v>Completed</c:v>
                  </c:pt>
                  <c:pt idx="239">
                    <c:v>Completed</c:v>
                  </c:pt>
                  <c:pt idx="240">
                    <c:v>Cancelled</c:v>
                  </c:pt>
                  <c:pt idx="241">
                    <c:v>Completed</c:v>
                  </c:pt>
                  <c:pt idx="242">
                    <c:v>Completed</c:v>
                  </c:pt>
                  <c:pt idx="243">
                    <c:v>Completed</c:v>
                  </c:pt>
                  <c:pt idx="244">
                    <c:v>Completed</c:v>
                  </c:pt>
                  <c:pt idx="245">
                    <c:v>Completed</c:v>
                  </c:pt>
                  <c:pt idx="246">
                    <c:v>Completed</c:v>
                  </c:pt>
                  <c:pt idx="247">
                    <c:v>Completed</c:v>
                  </c:pt>
                  <c:pt idx="248">
                    <c:v>Completed</c:v>
                  </c:pt>
                  <c:pt idx="249">
                    <c:v>Completed</c:v>
                  </c:pt>
                  <c:pt idx="250">
                    <c:v>Completed</c:v>
                  </c:pt>
                  <c:pt idx="251">
                    <c:v>Completed</c:v>
                  </c:pt>
                  <c:pt idx="252">
                    <c:v>Completed</c:v>
                  </c:pt>
                  <c:pt idx="253">
                    <c:v>Cancelled</c:v>
                  </c:pt>
                  <c:pt idx="254">
                    <c:v>Completed</c:v>
                  </c:pt>
                  <c:pt idx="255">
                    <c:v>Completed</c:v>
                  </c:pt>
                  <c:pt idx="256">
                    <c:v>Completed</c:v>
                  </c:pt>
                  <c:pt idx="257">
                    <c:v>Completed</c:v>
                  </c:pt>
                  <c:pt idx="258">
                    <c:v>Completed</c:v>
                  </c:pt>
                  <c:pt idx="259">
                    <c:v>Completed</c:v>
                  </c:pt>
                  <c:pt idx="260">
                    <c:v>Completed</c:v>
                  </c:pt>
                  <c:pt idx="261">
                    <c:v>Completed</c:v>
                  </c:pt>
                  <c:pt idx="262">
                    <c:v>Completed</c:v>
                  </c:pt>
                  <c:pt idx="263">
                    <c:v>Completed</c:v>
                  </c:pt>
                  <c:pt idx="264">
                    <c:v>Completed</c:v>
                  </c:pt>
                  <c:pt idx="265">
                    <c:v>Completed</c:v>
                  </c:pt>
                  <c:pt idx="266">
                    <c:v>Completed</c:v>
                  </c:pt>
                  <c:pt idx="267">
                    <c:v>Completed</c:v>
                  </c:pt>
                  <c:pt idx="268">
                    <c:v>Completed</c:v>
                  </c:pt>
                  <c:pt idx="269">
                    <c:v>Completed</c:v>
                  </c:pt>
                  <c:pt idx="270">
                    <c:v>Completed</c:v>
                  </c:pt>
                  <c:pt idx="271">
                    <c:v>Completed</c:v>
                  </c:pt>
                  <c:pt idx="272">
                    <c:v>Completed</c:v>
                  </c:pt>
                  <c:pt idx="273">
                    <c:v>Completed</c:v>
                  </c:pt>
                  <c:pt idx="274">
                    <c:v>Completed</c:v>
                  </c:pt>
                  <c:pt idx="275">
                    <c:v>Completed</c:v>
                  </c:pt>
                  <c:pt idx="276">
                    <c:v>Completed</c:v>
                  </c:pt>
                  <c:pt idx="277">
                    <c:v>Completed</c:v>
                  </c:pt>
                  <c:pt idx="278">
                    <c:v>Completed</c:v>
                  </c:pt>
                  <c:pt idx="279">
                    <c:v>Completed</c:v>
                  </c:pt>
                  <c:pt idx="280">
                    <c:v>Completed</c:v>
                  </c:pt>
                  <c:pt idx="281">
                    <c:v>Completed</c:v>
                  </c:pt>
                  <c:pt idx="282">
                    <c:v>Completed</c:v>
                  </c:pt>
                  <c:pt idx="283">
                    <c:v>Completed</c:v>
                  </c:pt>
                  <c:pt idx="284">
                    <c:v>Completed</c:v>
                  </c:pt>
                  <c:pt idx="285">
                    <c:v>Completed</c:v>
                  </c:pt>
                  <c:pt idx="286">
                    <c:v>Completed</c:v>
                  </c:pt>
                  <c:pt idx="287">
                    <c:v>Completed</c:v>
                  </c:pt>
                  <c:pt idx="288">
                    <c:v>Completed</c:v>
                  </c:pt>
                  <c:pt idx="289">
                    <c:v>Completed</c:v>
                  </c:pt>
                  <c:pt idx="290">
                    <c:v>Completed</c:v>
                  </c:pt>
                  <c:pt idx="291">
                    <c:v>Completed</c:v>
                  </c:pt>
                  <c:pt idx="292">
                    <c:v>Completed</c:v>
                  </c:pt>
                  <c:pt idx="293">
                    <c:v>Completed</c:v>
                  </c:pt>
                  <c:pt idx="294">
                    <c:v>Completed</c:v>
                  </c:pt>
                  <c:pt idx="295">
                    <c:v>Completed</c:v>
                  </c:pt>
                  <c:pt idx="296">
                    <c:v>Completed</c:v>
                  </c:pt>
                  <c:pt idx="297">
                    <c:v>Completed</c:v>
                  </c:pt>
                  <c:pt idx="298">
                    <c:v>Completed</c:v>
                  </c:pt>
                  <c:pt idx="299">
                    <c:v>Completed</c:v>
                  </c:pt>
                </c:lvl>
                <c:lvl>
                  <c:pt idx="0">
                    <c:v>High</c:v>
                  </c:pt>
                  <c:pt idx="1">
                    <c:v>Low</c:v>
                  </c:pt>
                  <c:pt idx="2">
                    <c:v>High</c:v>
                  </c:pt>
                  <c:pt idx="3">
                    <c:v>High</c:v>
                  </c:pt>
                  <c:pt idx="4">
                    <c:v>High</c:v>
                  </c:pt>
                  <c:pt idx="5">
                    <c:v>High</c:v>
                  </c:pt>
                  <c:pt idx="6">
                    <c:v>High</c:v>
                  </c:pt>
                  <c:pt idx="7">
                    <c:v>High</c:v>
                  </c:pt>
                  <c:pt idx="8">
                    <c:v>High</c:v>
                  </c:pt>
                  <c:pt idx="9">
                    <c:v>High</c:v>
                  </c:pt>
                  <c:pt idx="10">
                    <c:v>High</c:v>
                  </c:pt>
                  <c:pt idx="11">
                    <c:v>High</c:v>
                  </c:pt>
                  <c:pt idx="12">
                    <c:v>Medium</c:v>
                  </c:pt>
                  <c:pt idx="13">
                    <c:v>Low</c:v>
                  </c:pt>
                  <c:pt idx="14">
                    <c:v>High</c:v>
                  </c:pt>
                  <c:pt idx="15">
                    <c:v>High</c:v>
                  </c:pt>
                  <c:pt idx="16">
                    <c:v>High</c:v>
                  </c:pt>
                  <c:pt idx="17">
                    <c:v>Low</c:v>
                  </c:pt>
                  <c:pt idx="18">
                    <c:v>High</c:v>
                  </c:pt>
                  <c:pt idx="19">
                    <c:v>High</c:v>
                  </c:pt>
                  <c:pt idx="20">
                    <c:v>High</c:v>
                  </c:pt>
                  <c:pt idx="21">
                    <c:v>High</c:v>
                  </c:pt>
                  <c:pt idx="22">
                    <c:v>High</c:v>
                  </c:pt>
                  <c:pt idx="23">
                    <c:v>High</c:v>
                  </c:pt>
                  <c:pt idx="24">
                    <c:v>High</c:v>
                  </c:pt>
                  <c:pt idx="25">
                    <c:v>High</c:v>
                  </c:pt>
                  <c:pt idx="26">
                    <c:v>Medium</c:v>
                  </c:pt>
                  <c:pt idx="27">
                    <c:v>High</c:v>
                  </c:pt>
                  <c:pt idx="28">
                    <c:v>Medium</c:v>
                  </c:pt>
                  <c:pt idx="29">
                    <c:v>Medium</c:v>
                  </c:pt>
                  <c:pt idx="30">
                    <c:v>High</c:v>
                  </c:pt>
                  <c:pt idx="31">
                    <c:v>High</c:v>
                  </c:pt>
                  <c:pt idx="32">
                    <c:v>High</c:v>
                  </c:pt>
                  <c:pt idx="33">
                    <c:v>High</c:v>
                  </c:pt>
                  <c:pt idx="34">
                    <c:v>High</c:v>
                  </c:pt>
                  <c:pt idx="35">
                    <c:v>Medium</c:v>
                  </c:pt>
                  <c:pt idx="36">
                    <c:v>Low</c:v>
                  </c:pt>
                  <c:pt idx="37">
                    <c:v>High</c:v>
                  </c:pt>
                  <c:pt idx="38">
                    <c:v>High</c:v>
                  </c:pt>
                  <c:pt idx="39">
                    <c:v>High</c:v>
                  </c:pt>
                  <c:pt idx="40">
                    <c:v>High</c:v>
                  </c:pt>
                  <c:pt idx="41">
                    <c:v>High</c:v>
                  </c:pt>
                  <c:pt idx="42">
                    <c:v>High</c:v>
                  </c:pt>
                  <c:pt idx="43">
                    <c:v>High</c:v>
                  </c:pt>
                  <c:pt idx="44">
                    <c:v>High</c:v>
                  </c:pt>
                  <c:pt idx="45">
                    <c:v>High</c:v>
                  </c:pt>
                  <c:pt idx="46">
                    <c:v>High</c:v>
                  </c:pt>
                  <c:pt idx="47">
                    <c:v>High</c:v>
                  </c:pt>
                  <c:pt idx="48">
                    <c:v>High</c:v>
                  </c:pt>
                  <c:pt idx="49">
                    <c:v>Medium</c:v>
                  </c:pt>
                  <c:pt idx="50">
                    <c:v>Low</c:v>
                  </c:pt>
                  <c:pt idx="51">
                    <c:v>High</c:v>
                  </c:pt>
                  <c:pt idx="52">
                    <c:v>Medium</c:v>
                  </c:pt>
                  <c:pt idx="53">
                    <c:v>High</c:v>
                  </c:pt>
                  <c:pt idx="54">
                    <c:v>Medium</c:v>
                  </c:pt>
                  <c:pt idx="55">
                    <c:v>High</c:v>
                  </c:pt>
                  <c:pt idx="56">
                    <c:v>High</c:v>
                  </c:pt>
                  <c:pt idx="57">
                    <c:v>High</c:v>
                  </c:pt>
                  <c:pt idx="58">
                    <c:v>High</c:v>
                  </c:pt>
                  <c:pt idx="59">
                    <c:v>High</c:v>
                  </c:pt>
                  <c:pt idx="60">
                    <c:v>High</c:v>
                  </c:pt>
                  <c:pt idx="61">
                    <c:v>High</c:v>
                  </c:pt>
                  <c:pt idx="62">
                    <c:v>High</c:v>
                  </c:pt>
                  <c:pt idx="63">
                    <c:v>High</c:v>
                  </c:pt>
                  <c:pt idx="64">
                    <c:v>High</c:v>
                  </c:pt>
                  <c:pt idx="65">
                    <c:v>High</c:v>
                  </c:pt>
                  <c:pt idx="66">
                    <c:v>High</c:v>
                  </c:pt>
                  <c:pt idx="67">
                    <c:v>High</c:v>
                  </c:pt>
                  <c:pt idx="68">
                    <c:v>High</c:v>
                  </c:pt>
                  <c:pt idx="69">
                    <c:v>High</c:v>
                  </c:pt>
                  <c:pt idx="70">
                    <c:v>High</c:v>
                  </c:pt>
                  <c:pt idx="71">
                    <c:v>High</c:v>
                  </c:pt>
                  <c:pt idx="72">
                    <c:v>High</c:v>
                  </c:pt>
                  <c:pt idx="73">
                    <c:v>High</c:v>
                  </c:pt>
                  <c:pt idx="74">
                    <c:v>High</c:v>
                  </c:pt>
                  <c:pt idx="75">
                    <c:v>High</c:v>
                  </c:pt>
                  <c:pt idx="76">
                    <c:v>High</c:v>
                  </c:pt>
                  <c:pt idx="77">
                    <c:v>High</c:v>
                  </c:pt>
                  <c:pt idx="78">
                    <c:v>High</c:v>
                  </c:pt>
                  <c:pt idx="79">
                    <c:v>High</c:v>
                  </c:pt>
                  <c:pt idx="80">
                    <c:v>High</c:v>
                  </c:pt>
                  <c:pt idx="81">
                    <c:v>High</c:v>
                  </c:pt>
                  <c:pt idx="82">
                    <c:v>Low</c:v>
                  </c:pt>
                  <c:pt idx="83">
                    <c:v>High</c:v>
                  </c:pt>
                  <c:pt idx="84">
                    <c:v>Medium</c:v>
                  </c:pt>
                  <c:pt idx="85">
                    <c:v>High</c:v>
                  </c:pt>
                  <c:pt idx="86">
                    <c:v>High</c:v>
                  </c:pt>
                  <c:pt idx="87">
                    <c:v>High</c:v>
                  </c:pt>
                  <c:pt idx="88">
                    <c:v>High</c:v>
                  </c:pt>
                  <c:pt idx="89">
                    <c:v>High</c:v>
                  </c:pt>
                  <c:pt idx="90">
                    <c:v>High</c:v>
                  </c:pt>
                  <c:pt idx="91">
                    <c:v>High</c:v>
                  </c:pt>
                  <c:pt idx="92">
                    <c:v>High</c:v>
                  </c:pt>
                  <c:pt idx="93">
                    <c:v>Medium</c:v>
                  </c:pt>
                  <c:pt idx="94">
                    <c:v>High</c:v>
                  </c:pt>
                  <c:pt idx="95">
                    <c:v>Medium</c:v>
                  </c:pt>
                  <c:pt idx="96">
                    <c:v>High</c:v>
                  </c:pt>
                  <c:pt idx="97">
                    <c:v>High</c:v>
                  </c:pt>
                  <c:pt idx="98">
                    <c:v>High</c:v>
                  </c:pt>
                  <c:pt idx="99">
                    <c:v>High</c:v>
                  </c:pt>
                  <c:pt idx="100">
                    <c:v>High</c:v>
                  </c:pt>
                  <c:pt idx="101">
                    <c:v>High</c:v>
                  </c:pt>
                  <c:pt idx="102">
                    <c:v>Medium</c:v>
                  </c:pt>
                  <c:pt idx="103">
                    <c:v>High</c:v>
                  </c:pt>
                  <c:pt idx="104">
                    <c:v>High</c:v>
                  </c:pt>
                  <c:pt idx="105">
                    <c:v>Medium</c:v>
                  </c:pt>
                  <c:pt idx="106">
                    <c:v>Medium</c:v>
                  </c:pt>
                  <c:pt idx="107">
                    <c:v>High</c:v>
                  </c:pt>
                  <c:pt idx="108">
                    <c:v>High</c:v>
                  </c:pt>
                  <c:pt idx="109">
                    <c:v>High</c:v>
                  </c:pt>
                  <c:pt idx="110">
                    <c:v>High</c:v>
                  </c:pt>
                  <c:pt idx="111">
                    <c:v>High</c:v>
                  </c:pt>
                  <c:pt idx="112">
                    <c:v>High</c:v>
                  </c:pt>
                  <c:pt idx="113">
                    <c:v>High</c:v>
                  </c:pt>
                  <c:pt idx="114">
                    <c:v>High</c:v>
                  </c:pt>
                  <c:pt idx="115">
                    <c:v>Low</c:v>
                  </c:pt>
                  <c:pt idx="116">
                    <c:v>High</c:v>
                  </c:pt>
                  <c:pt idx="117">
                    <c:v>High</c:v>
                  </c:pt>
                  <c:pt idx="118">
                    <c:v>High</c:v>
                  </c:pt>
                  <c:pt idx="119">
                    <c:v>Medium</c:v>
                  </c:pt>
                  <c:pt idx="120">
                    <c:v>Medium</c:v>
                  </c:pt>
                  <c:pt idx="121">
                    <c:v>High</c:v>
                  </c:pt>
                  <c:pt idx="122">
                    <c:v>High</c:v>
                  </c:pt>
                  <c:pt idx="123">
                    <c:v>Medium</c:v>
                  </c:pt>
                  <c:pt idx="124">
                    <c:v>High</c:v>
                  </c:pt>
                  <c:pt idx="125">
                    <c:v>Medium</c:v>
                  </c:pt>
                  <c:pt idx="126">
                    <c:v>Medium</c:v>
                  </c:pt>
                  <c:pt idx="127">
                    <c:v>High</c:v>
                  </c:pt>
                  <c:pt idx="128">
                    <c:v>High</c:v>
                  </c:pt>
                  <c:pt idx="129">
                    <c:v>High</c:v>
                  </c:pt>
                  <c:pt idx="130">
                    <c:v>High</c:v>
                  </c:pt>
                  <c:pt idx="131">
                    <c:v>High</c:v>
                  </c:pt>
                  <c:pt idx="132">
                    <c:v>High</c:v>
                  </c:pt>
                  <c:pt idx="133">
                    <c:v>High</c:v>
                  </c:pt>
                  <c:pt idx="134">
                    <c:v>High</c:v>
                  </c:pt>
                  <c:pt idx="135">
                    <c:v>High</c:v>
                  </c:pt>
                  <c:pt idx="136">
                    <c:v>High</c:v>
                  </c:pt>
                  <c:pt idx="137">
                    <c:v>High</c:v>
                  </c:pt>
                  <c:pt idx="138">
                    <c:v>Medium</c:v>
                  </c:pt>
                  <c:pt idx="139">
                    <c:v>Medium</c:v>
                  </c:pt>
                  <c:pt idx="140">
                    <c:v>High</c:v>
                  </c:pt>
                  <c:pt idx="141">
                    <c:v>High</c:v>
                  </c:pt>
                  <c:pt idx="142">
                    <c:v>High</c:v>
                  </c:pt>
                  <c:pt idx="143">
                    <c:v>High</c:v>
                  </c:pt>
                  <c:pt idx="144">
                    <c:v>High</c:v>
                  </c:pt>
                  <c:pt idx="145">
                    <c:v>High</c:v>
                  </c:pt>
                  <c:pt idx="146">
                    <c:v>High</c:v>
                  </c:pt>
                  <c:pt idx="147">
                    <c:v>High</c:v>
                  </c:pt>
                  <c:pt idx="148">
                    <c:v>High</c:v>
                  </c:pt>
                  <c:pt idx="149">
                    <c:v>High</c:v>
                  </c:pt>
                  <c:pt idx="150">
                    <c:v>High</c:v>
                  </c:pt>
                  <c:pt idx="151">
                    <c:v>High</c:v>
                  </c:pt>
                  <c:pt idx="152">
                    <c:v>High</c:v>
                  </c:pt>
                  <c:pt idx="153">
                    <c:v>High</c:v>
                  </c:pt>
                  <c:pt idx="154">
                    <c:v>High</c:v>
                  </c:pt>
                  <c:pt idx="155">
                    <c:v>High</c:v>
                  </c:pt>
                  <c:pt idx="156">
                    <c:v>High</c:v>
                  </c:pt>
                  <c:pt idx="157">
                    <c:v>High</c:v>
                  </c:pt>
                  <c:pt idx="158">
                    <c:v>Medium</c:v>
                  </c:pt>
                  <c:pt idx="159">
                    <c:v>High</c:v>
                  </c:pt>
                  <c:pt idx="160">
                    <c:v>High</c:v>
                  </c:pt>
                  <c:pt idx="161">
                    <c:v>High</c:v>
                  </c:pt>
                  <c:pt idx="162">
                    <c:v>High</c:v>
                  </c:pt>
                  <c:pt idx="163">
                    <c:v>Medium</c:v>
                  </c:pt>
                  <c:pt idx="164">
                    <c:v>High</c:v>
                  </c:pt>
                  <c:pt idx="165">
                    <c:v>High</c:v>
                  </c:pt>
                  <c:pt idx="166">
                    <c:v>High</c:v>
                  </c:pt>
                  <c:pt idx="167">
                    <c:v>Medium</c:v>
                  </c:pt>
                  <c:pt idx="168">
                    <c:v>High</c:v>
                  </c:pt>
                  <c:pt idx="169">
                    <c:v>High</c:v>
                  </c:pt>
                  <c:pt idx="170">
                    <c:v>High</c:v>
                  </c:pt>
                  <c:pt idx="171">
                    <c:v>High</c:v>
                  </c:pt>
                  <c:pt idx="172">
                    <c:v>Low</c:v>
                  </c:pt>
                  <c:pt idx="173">
                    <c:v>High</c:v>
                  </c:pt>
                  <c:pt idx="174">
                    <c:v>High</c:v>
                  </c:pt>
                  <c:pt idx="175">
                    <c:v>High</c:v>
                  </c:pt>
                  <c:pt idx="176">
                    <c:v>High</c:v>
                  </c:pt>
                  <c:pt idx="177">
                    <c:v>High</c:v>
                  </c:pt>
                  <c:pt idx="178">
                    <c:v>High</c:v>
                  </c:pt>
                  <c:pt idx="179">
                    <c:v>Medium</c:v>
                  </c:pt>
                  <c:pt idx="180">
                    <c:v>Low</c:v>
                  </c:pt>
                  <c:pt idx="181">
                    <c:v>High</c:v>
                  </c:pt>
                  <c:pt idx="182">
                    <c:v>Medium</c:v>
                  </c:pt>
                  <c:pt idx="183">
                    <c:v>High</c:v>
                  </c:pt>
                  <c:pt idx="184">
                    <c:v>High</c:v>
                  </c:pt>
                  <c:pt idx="185">
                    <c:v>High</c:v>
                  </c:pt>
                  <c:pt idx="186">
                    <c:v>High</c:v>
                  </c:pt>
                  <c:pt idx="187">
                    <c:v>High</c:v>
                  </c:pt>
                  <c:pt idx="188">
                    <c:v>High</c:v>
                  </c:pt>
                  <c:pt idx="189">
                    <c:v>High</c:v>
                  </c:pt>
                  <c:pt idx="190">
                    <c:v>Medium</c:v>
                  </c:pt>
                  <c:pt idx="191">
                    <c:v>Medium</c:v>
                  </c:pt>
                  <c:pt idx="192">
                    <c:v>High</c:v>
                  </c:pt>
                  <c:pt idx="193">
                    <c:v>High</c:v>
                  </c:pt>
                  <c:pt idx="194">
                    <c:v>High</c:v>
                  </c:pt>
                  <c:pt idx="195">
                    <c:v>High</c:v>
                  </c:pt>
                  <c:pt idx="196">
                    <c:v>High</c:v>
                  </c:pt>
                  <c:pt idx="197">
                    <c:v>High</c:v>
                  </c:pt>
                  <c:pt idx="198">
                    <c:v>High</c:v>
                  </c:pt>
                  <c:pt idx="199">
                    <c:v>Medium</c:v>
                  </c:pt>
                  <c:pt idx="200">
                    <c:v>High</c:v>
                  </c:pt>
                  <c:pt idx="201">
                    <c:v>High</c:v>
                  </c:pt>
                  <c:pt idx="202">
                    <c:v>High</c:v>
                  </c:pt>
                  <c:pt idx="203">
                    <c:v>Medium</c:v>
                  </c:pt>
                  <c:pt idx="204">
                    <c:v>High</c:v>
                  </c:pt>
                  <c:pt idx="205">
                    <c:v>High</c:v>
                  </c:pt>
                  <c:pt idx="206">
                    <c:v>High</c:v>
                  </c:pt>
                  <c:pt idx="207">
                    <c:v>High</c:v>
                  </c:pt>
                  <c:pt idx="208">
                    <c:v>High</c:v>
                  </c:pt>
                  <c:pt idx="209">
                    <c:v>High</c:v>
                  </c:pt>
                  <c:pt idx="210">
                    <c:v>High</c:v>
                  </c:pt>
                  <c:pt idx="211">
                    <c:v>Medium</c:v>
                  </c:pt>
                  <c:pt idx="212">
                    <c:v>High</c:v>
                  </c:pt>
                  <c:pt idx="213">
                    <c:v>High</c:v>
                  </c:pt>
                  <c:pt idx="214">
                    <c:v>High</c:v>
                  </c:pt>
                  <c:pt idx="215">
                    <c:v>High</c:v>
                  </c:pt>
                  <c:pt idx="216">
                    <c:v>High</c:v>
                  </c:pt>
                  <c:pt idx="217">
                    <c:v>High</c:v>
                  </c:pt>
                  <c:pt idx="218">
                    <c:v>High</c:v>
                  </c:pt>
                  <c:pt idx="219">
                    <c:v>High</c:v>
                  </c:pt>
                  <c:pt idx="220">
                    <c:v>High</c:v>
                  </c:pt>
                  <c:pt idx="221">
                    <c:v>High</c:v>
                  </c:pt>
                  <c:pt idx="222">
                    <c:v>High</c:v>
                  </c:pt>
                  <c:pt idx="223">
                    <c:v>Medium</c:v>
                  </c:pt>
                  <c:pt idx="224">
                    <c:v>High</c:v>
                  </c:pt>
                  <c:pt idx="225">
                    <c:v>High</c:v>
                  </c:pt>
                  <c:pt idx="226">
                    <c:v>High</c:v>
                  </c:pt>
                  <c:pt idx="227">
                    <c:v>Low</c:v>
                  </c:pt>
                  <c:pt idx="228">
                    <c:v>High</c:v>
                  </c:pt>
                  <c:pt idx="229">
                    <c:v>High</c:v>
                  </c:pt>
                  <c:pt idx="230">
                    <c:v>High</c:v>
                  </c:pt>
                  <c:pt idx="231">
                    <c:v>High</c:v>
                  </c:pt>
                  <c:pt idx="232">
                    <c:v>High</c:v>
                  </c:pt>
                  <c:pt idx="233">
                    <c:v>High</c:v>
                  </c:pt>
                  <c:pt idx="234">
                    <c:v>Medium</c:v>
                  </c:pt>
                  <c:pt idx="235">
                    <c:v>High</c:v>
                  </c:pt>
                  <c:pt idx="236">
                    <c:v>Medium</c:v>
                  </c:pt>
                  <c:pt idx="237">
                    <c:v>High</c:v>
                  </c:pt>
                  <c:pt idx="238">
                    <c:v>Low</c:v>
                  </c:pt>
                  <c:pt idx="239">
                    <c:v>High</c:v>
                  </c:pt>
                  <c:pt idx="240">
                    <c:v>High</c:v>
                  </c:pt>
                  <c:pt idx="241">
                    <c:v>High</c:v>
                  </c:pt>
                  <c:pt idx="242">
                    <c:v>High</c:v>
                  </c:pt>
                  <c:pt idx="243">
                    <c:v>High</c:v>
                  </c:pt>
                  <c:pt idx="244">
                    <c:v>Medium</c:v>
                  </c:pt>
                  <c:pt idx="245">
                    <c:v>High</c:v>
                  </c:pt>
                  <c:pt idx="246">
                    <c:v>High</c:v>
                  </c:pt>
                  <c:pt idx="247">
                    <c:v>High</c:v>
                  </c:pt>
                  <c:pt idx="248">
                    <c:v>High</c:v>
                  </c:pt>
                  <c:pt idx="249">
                    <c:v>High</c:v>
                  </c:pt>
                  <c:pt idx="250">
                    <c:v>High</c:v>
                  </c:pt>
                  <c:pt idx="251">
                    <c:v>High</c:v>
                  </c:pt>
                  <c:pt idx="252">
                    <c:v>High</c:v>
                  </c:pt>
                  <c:pt idx="253">
                    <c:v>High</c:v>
                  </c:pt>
                  <c:pt idx="254">
                    <c:v>High</c:v>
                  </c:pt>
                  <c:pt idx="255">
                    <c:v>High</c:v>
                  </c:pt>
                  <c:pt idx="256">
                    <c:v>High</c:v>
                  </c:pt>
                  <c:pt idx="257">
                    <c:v>Medium</c:v>
                  </c:pt>
                  <c:pt idx="258">
                    <c:v>High</c:v>
                  </c:pt>
                  <c:pt idx="259">
                    <c:v>High</c:v>
                  </c:pt>
                  <c:pt idx="260">
                    <c:v>High</c:v>
                  </c:pt>
                  <c:pt idx="261">
                    <c:v>High</c:v>
                  </c:pt>
                  <c:pt idx="262">
                    <c:v>High</c:v>
                  </c:pt>
                  <c:pt idx="263">
                    <c:v>High</c:v>
                  </c:pt>
                  <c:pt idx="264">
                    <c:v>Medium</c:v>
                  </c:pt>
                  <c:pt idx="265">
                    <c:v>High</c:v>
                  </c:pt>
                  <c:pt idx="266">
                    <c:v>High</c:v>
                  </c:pt>
                  <c:pt idx="267">
                    <c:v>High</c:v>
                  </c:pt>
                  <c:pt idx="268">
                    <c:v>High</c:v>
                  </c:pt>
                  <c:pt idx="269">
                    <c:v>High</c:v>
                  </c:pt>
                  <c:pt idx="270">
                    <c:v>High</c:v>
                  </c:pt>
                  <c:pt idx="271">
                    <c:v>High</c:v>
                  </c:pt>
                  <c:pt idx="272">
                    <c:v>High</c:v>
                  </c:pt>
                  <c:pt idx="273">
                    <c:v>High</c:v>
                  </c:pt>
                  <c:pt idx="274">
                    <c:v>High</c:v>
                  </c:pt>
                  <c:pt idx="275">
                    <c:v>High</c:v>
                  </c:pt>
                  <c:pt idx="276">
                    <c:v>High</c:v>
                  </c:pt>
                  <c:pt idx="277">
                    <c:v>High</c:v>
                  </c:pt>
                  <c:pt idx="278">
                    <c:v>High</c:v>
                  </c:pt>
                  <c:pt idx="279">
                    <c:v>High</c:v>
                  </c:pt>
                  <c:pt idx="280">
                    <c:v>Medium</c:v>
                  </c:pt>
                  <c:pt idx="281">
                    <c:v>Medium</c:v>
                  </c:pt>
                  <c:pt idx="282">
                    <c:v>High</c:v>
                  </c:pt>
                  <c:pt idx="283">
                    <c:v>High</c:v>
                  </c:pt>
                  <c:pt idx="284">
                    <c:v>High</c:v>
                  </c:pt>
                  <c:pt idx="285">
                    <c:v>High</c:v>
                  </c:pt>
                  <c:pt idx="286">
                    <c:v>Low</c:v>
                  </c:pt>
                  <c:pt idx="287">
                    <c:v>High</c:v>
                  </c:pt>
                  <c:pt idx="288">
                    <c:v>High</c:v>
                  </c:pt>
                  <c:pt idx="289">
                    <c:v>High</c:v>
                  </c:pt>
                  <c:pt idx="290">
                    <c:v>Low</c:v>
                  </c:pt>
                  <c:pt idx="291">
                    <c:v>High</c:v>
                  </c:pt>
                  <c:pt idx="292">
                    <c:v>High</c:v>
                  </c:pt>
                  <c:pt idx="293">
                    <c:v>Medium</c:v>
                  </c:pt>
                  <c:pt idx="294">
                    <c:v>High</c:v>
                  </c:pt>
                  <c:pt idx="295">
                    <c:v>High</c:v>
                  </c:pt>
                  <c:pt idx="296">
                    <c:v>High</c:v>
                  </c:pt>
                  <c:pt idx="297">
                    <c:v>High</c:v>
                  </c:pt>
                  <c:pt idx="298">
                    <c:v>High</c:v>
                  </c:pt>
                  <c:pt idx="299">
                    <c:v>High</c:v>
                  </c:pt>
                </c:lvl>
                <c:lvl>
                  <c:pt idx="0">
                    <c:v>0</c:v>
                  </c:pt>
                  <c:pt idx="1">
                    <c:v>3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1</c:v>
                  </c:pt>
                  <c:pt idx="7">
                    <c:v>0</c:v>
                  </c:pt>
                  <c:pt idx="8">
                    <c:v>1</c:v>
                  </c:pt>
                  <c:pt idx="9">
                    <c:v>1</c:v>
                  </c:pt>
                  <c:pt idx="10">
                    <c:v>0</c:v>
                  </c:pt>
                  <c:pt idx="11">
                    <c:v>0</c:v>
                  </c:pt>
                  <c:pt idx="12">
                    <c:v>1</c:v>
                  </c:pt>
                  <c:pt idx="13">
                    <c:v>3</c:v>
                  </c:pt>
                  <c:pt idx="14">
                    <c:v>0</c:v>
                  </c:pt>
                  <c:pt idx="15">
                    <c:v>1</c:v>
                  </c:pt>
                  <c:pt idx="16">
                    <c:v>0</c:v>
                  </c:pt>
                  <c:pt idx="17">
                    <c:v>2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  <c:pt idx="21">
                    <c:v>1</c:v>
                  </c:pt>
                  <c:pt idx="22">
                    <c:v>0</c:v>
                  </c:pt>
                  <c:pt idx="23">
                    <c:v>0</c:v>
                  </c:pt>
                  <c:pt idx="24">
                    <c:v>0</c:v>
                  </c:pt>
                  <c:pt idx="25">
                    <c:v>0</c:v>
                  </c:pt>
                  <c:pt idx="26">
                    <c:v>2</c:v>
                  </c:pt>
                  <c:pt idx="27">
                    <c:v>0</c:v>
                  </c:pt>
                  <c:pt idx="28">
                    <c:v>2</c:v>
                  </c:pt>
                  <c:pt idx="29">
                    <c:v>3</c:v>
                  </c:pt>
                  <c:pt idx="30">
                    <c:v>0</c:v>
                  </c:pt>
                  <c:pt idx="31">
                    <c:v>0</c:v>
                  </c:pt>
                  <c:pt idx="32">
                    <c:v>0</c:v>
                  </c:pt>
                  <c:pt idx="33">
                    <c:v>1</c:v>
                  </c:pt>
                  <c:pt idx="34">
                    <c:v>0</c:v>
                  </c:pt>
                  <c:pt idx="35">
                    <c:v>1</c:v>
                  </c:pt>
                  <c:pt idx="36">
                    <c:v>3</c:v>
                  </c:pt>
                  <c:pt idx="37">
                    <c:v>0</c:v>
                  </c:pt>
                  <c:pt idx="38">
                    <c:v>0</c:v>
                  </c:pt>
                  <c:pt idx="39">
                    <c:v>0</c:v>
                  </c:pt>
                  <c:pt idx="40">
                    <c:v>1</c:v>
                  </c:pt>
                  <c:pt idx="41">
                    <c:v>0</c:v>
                  </c:pt>
                  <c:pt idx="42">
                    <c:v>0</c:v>
                  </c:pt>
                  <c:pt idx="43">
                    <c:v>0</c:v>
                  </c:pt>
                  <c:pt idx="44">
                    <c:v>0</c:v>
                  </c:pt>
                  <c:pt idx="45">
                    <c:v>1</c:v>
                  </c:pt>
                  <c:pt idx="46">
                    <c:v>0</c:v>
                  </c:pt>
                  <c:pt idx="47">
                    <c:v>0</c:v>
                  </c:pt>
                  <c:pt idx="48">
                    <c:v>1</c:v>
                  </c:pt>
                  <c:pt idx="49">
                    <c:v>1</c:v>
                  </c:pt>
                  <c:pt idx="50">
                    <c:v>3</c:v>
                  </c:pt>
                  <c:pt idx="51">
                    <c:v>1</c:v>
                  </c:pt>
                  <c:pt idx="52">
                    <c:v>2</c:v>
                  </c:pt>
                  <c:pt idx="53">
                    <c:v>0</c:v>
                  </c:pt>
                  <c:pt idx="54">
                    <c:v>1</c:v>
                  </c:pt>
                  <c:pt idx="55">
                    <c:v>0</c:v>
                  </c:pt>
                  <c:pt idx="56">
                    <c:v>0</c:v>
                  </c:pt>
                  <c:pt idx="57">
                    <c:v>0</c:v>
                  </c:pt>
                  <c:pt idx="58">
                    <c:v>0</c:v>
                  </c:pt>
                  <c:pt idx="59">
                    <c:v>0</c:v>
                  </c:pt>
                  <c:pt idx="60">
                    <c:v>1</c:v>
                  </c:pt>
                  <c:pt idx="61">
                    <c:v>0</c:v>
                  </c:pt>
                  <c:pt idx="62">
                    <c:v>0</c:v>
                  </c:pt>
                  <c:pt idx="63">
                    <c:v>0</c:v>
                  </c:pt>
                  <c:pt idx="64">
                    <c:v>1</c:v>
                  </c:pt>
                  <c:pt idx="65">
                    <c:v>0</c:v>
                  </c:pt>
                  <c:pt idx="66">
                    <c:v>0</c:v>
                  </c:pt>
                  <c:pt idx="67">
                    <c:v>0</c:v>
                  </c:pt>
                  <c:pt idx="68">
                    <c:v>0</c:v>
                  </c:pt>
                  <c:pt idx="69">
                    <c:v>0</c:v>
                  </c:pt>
                  <c:pt idx="70">
                    <c:v>0</c:v>
                  </c:pt>
                  <c:pt idx="71">
                    <c:v>0</c:v>
                  </c:pt>
                  <c:pt idx="72">
                    <c:v>0</c:v>
                  </c:pt>
                  <c:pt idx="73">
                    <c:v>0</c:v>
                  </c:pt>
                  <c:pt idx="74">
                    <c:v>0</c:v>
                  </c:pt>
                  <c:pt idx="75">
                    <c:v>0</c:v>
                  </c:pt>
                  <c:pt idx="76">
                    <c:v>1</c:v>
                  </c:pt>
                  <c:pt idx="77">
                    <c:v>0</c:v>
                  </c:pt>
                  <c:pt idx="78">
                    <c:v>1</c:v>
                  </c:pt>
                  <c:pt idx="79">
                    <c:v>0</c:v>
                  </c:pt>
                  <c:pt idx="80">
                    <c:v>0</c:v>
                  </c:pt>
                  <c:pt idx="81">
                    <c:v>1</c:v>
                  </c:pt>
                  <c:pt idx="82">
                    <c:v>3</c:v>
                  </c:pt>
                  <c:pt idx="83">
                    <c:v>0</c:v>
                  </c:pt>
                  <c:pt idx="84">
                    <c:v>1</c:v>
                  </c:pt>
                  <c:pt idx="85">
                    <c:v>1</c:v>
                  </c:pt>
                  <c:pt idx="86">
                    <c:v>0</c:v>
                  </c:pt>
                  <c:pt idx="87">
                    <c:v>1</c:v>
                  </c:pt>
                  <c:pt idx="88">
                    <c:v>0</c:v>
                  </c:pt>
                  <c:pt idx="89">
                    <c:v>0</c:v>
                  </c:pt>
                  <c:pt idx="90">
                    <c:v>0</c:v>
                  </c:pt>
                  <c:pt idx="91">
                    <c:v>0</c:v>
                  </c:pt>
                  <c:pt idx="92">
                    <c:v>0</c:v>
                  </c:pt>
                  <c:pt idx="93">
                    <c:v>1</c:v>
                  </c:pt>
                  <c:pt idx="94">
                    <c:v>0</c:v>
                  </c:pt>
                  <c:pt idx="95">
                    <c:v>2</c:v>
                  </c:pt>
                  <c:pt idx="96">
                    <c:v>0</c:v>
                  </c:pt>
                  <c:pt idx="97">
                    <c:v>1</c:v>
                  </c:pt>
                  <c:pt idx="98">
                    <c:v>1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1</c:v>
                  </c:pt>
                  <c:pt idx="102">
                    <c:v>3</c:v>
                  </c:pt>
                  <c:pt idx="103">
                    <c:v>1</c:v>
                  </c:pt>
                  <c:pt idx="104">
                    <c:v>0</c:v>
                  </c:pt>
                  <c:pt idx="105">
                    <c:v>1</c:v>
                  </c:pt>
                  <c:pt idx="106">
                    <c:v>1</c:v>
                  </c:pt>
                  <c:pt idx="107">
                    <c:v>1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1</c:v>
                  </c:pt>
                  <c:pt idx="114">
                    <c:v>1</c:v>
                  </c:pt>
                  <c:pt idx="115">
                    <c:v>3</c:v>
                  </c:pt>
                  <c:pt idx="116">
                    <c:v>1</c:v>
                  </c:pt>
                  <c:pt idx="117">
                    <c:v>0</c:v>
                  </c:pt>
                  <c:pt idx="118">
                    <c:v>0</c:v>
                  </c:pt>
                  <c:pt idx="119">
                    <c:v>1</c:v>
                  </c:pt>
                  <c:pt idx="120">
                    <c:v>1</c:v>
                  </c:pt>
                  <c:pt idx="121">
                    <c:v>0</c:v>
                  </c:pt>
                  <c:pt idx="122">
                    <c:v>1</c:v>
                  </c:pt>
                  <c:pt idx="123">
                    <c:v>1</c:v>
                  </c:pt>
                  <c:pt idx="124">
                    <c:v>0</c:v>
                  </c:pt>
                  <c:pt idx="125">
                    <c:v>2</c:v>
                  </c:pt>
                  <c:pt idx="126">
                    <c:v>3</c:v>
                  </c:pt>
                  <c:pt idx="127">
                    <c:v>0</c:v>
                  </c:pt>
                  <c:pt idx="128">
                    <c:v>1</c:v>
                  </c:pt>
                  <c:pt idx="129">
                    <c:v>0</c:v>
                  </c:pt>
                  <c:pt idx="130">
                    <c:v>1</c:v>
                  </c:pt>
                  <c:pt idx="131">
                    <c:v>0</c:v>
                  </c:pt>
                  <c:pt idx="132">
                    <c:v>1</c:v>
                  </c:pt>
                  <c:pt idx="133">
                    <c:v>0</c:v>
                  </c:pt>
                  <c:pt idx="134">
                    <c:v>1</c:v>
                  </c:pt>
                  <c:pt idx="135">
                    <c:v>0</c:v>
                  </c:pt>
                  <c:pt idx="136">
                    <c:v>0</c:v>
                  </c:pt>
                  <c:pt idx="137">
                    <c:v>0</c:v>
                  </c:pt>
                  <c:pt idx="138">
                    <c:v>2</c:v>
                  </c:pt>
                  <c:pt idx="139">
                    <c:v>1</c:v>
                  </c:pt>
                  <c:pt idx="140">
                    <c:v>0</c:v>
                  </c:pt>
                  <c:pt idx="141">
                    <c:v>0</c:v>
                  </c:pt>
                  <c:pt idx="142">
                    <c:v>0</c:v>
                  </c:pt>
                  <c:pt idx="143">
                    <c:v>0</c:v>
                  </c:pt>
                  <c:pt idx="144">
                    <c:v>0</c:v>
                  </c:pt>
                  <c:pt idx="145">
                    <c:v>0</c:v>
                  </c:pt>
                  <c:pt idx="146">
                    <c:v>0</c:v>
                  </c:pt>
                  <c:pt idx="147">
                    <c:v>0</c:v>
                  </c:pt>
                  <c:pt idx="148">
                    <c:v>0</c:v>
                  </c:pt>
                  <c:pt idx="149">
                    <c:v>0</c:v>
                  </c:pt>
                  <c:pt idx="150">
                    <c:v>0</c:v>
                  </c:pt>
                  <c:pt idx="151">
                    <c:v>0</c:v>
                  </c:pt>
                  <c:pt idx="152">
                    <c:v>0</c:v>
                  </c:pt>
                  <c:pt idx="153">
                    <c:v>0</c:v>
                  </c:pt>
                  <c:pt idx="154">
                    <c:v>2</c:v>
                  </c:pt>
                  <c:pt idx="155">
                    <c:v>0</c:v>
                  </c:pt>
                  <c:pt idx="156">
                    <c:v>0</c:v>
                  </c:pt>
                  <c:pt idx="157">
                    <c:v>0</c:v>
                  </c:pt>
                  <c:pt idx="158">
                    <c:v>2</c:v>
                  </c:pt>
                  <c:pt idx="159">
                    <c:v>0</c:v>
                  </c:pt>
                  <c:pt idx="160">
                    <c:v>0</c:v>
                  </c:pt>
                  <c:pt idx="161">
                    <c:v>0</c:v>
                  </c:pt>
                  <c:pt idx="162">
                    <c:v>1</c:v>
                  </c:pt>
                  <c:pt idx="163">
                    <c:v>2</c:v>
                  </c:pt>
                  <c:pt idx="164">
                    <c:v>0</c:v>
                  </c:pt>
                  <c:pt idx="165">
                    <c:v>0</c:v>
                  </c:pt>
                  <c:pt idx="166">
                    <c:v>1</c:v>
                  </c:pt>
                  <c:pt idx="167">
                    <c:v>1</c:v>
                  </c:pt>
                  <c:pt idx="168">
                    <c:v>0</c:v>
                  </c:pt>
                  <c:pt idx="169">
                    <c:v>0</c:v>
                  </c:pt>
                  <c:pt idx="170">
                    <c:v>0</c:v>
                  </c:pt>
                  <c:pt idx="171">
                    <c:v>0</c:v>
                  </c:pt>
                  <c:pt idx="172">
                    <c:v>3</c:v>
                  </c:pt>
                  <c:pt idx="173">
                    <c:v>0</c:v>
                  </c:pt>
                  <c:pt idx="174">
                    <c:v>0</c:v>
                  </c:pt>
                  <c:pt idx="175">
                    <c:v>0</c:v>
                  </c:pt>
                  <c:pt idx="176">
                    <c:v>0</c:v>
                  </c:pt>
                  <c:pt idx="177">
                    <c:v>0</c:v>
                  </c:pt>
                  <c:pt idx="178">
                    <c:v>0</c:v>
                  </c:pt>
                  <c:pt idx="179">
                    <c:v>1</c:v>
                  </c:pt>
                  <c:pt idx="180">
                    <c:v>3</c:v>
                  </c:pt>
                  <c:pt idx="181">
                    <c:v>0</c:v>
                  </c:pt>
                  <c:pt idx="182">
                    <c:v>1</c:v>
                  </c:pt>
                  <c:pt idx="183">
                    <c:v>0</c:v>
                  </c:pt>
                  <c:pt idx="184">
                    <c:v>0</c:v>
                  </c:pt>
                  <c:pt idx="185">
                    <c:v>1</c:v>
                  </c:pt>
                  <c:pt idx="186">
                    <c:v>0</c:v>
                  </c:pt>
                  <c:pt idx="187">
                    <c:v>0</c:v>
                  </c:pt>
                  <c:pt idx="188">
                    <c:v>0</c:v>
                  </c:pt>
                  <c:pt idx="189">
                    <c:v>0</c:v>
                  </c:pt>
                  <c:pt idx="190">
                    <c:v>1</c:v>
                  </c:pt>
                  <c:pt idx="191">
                    <c:v>1</c:v>
                  </c:pt>
                  <c:pt idx="192">
                    <c:v>0</c:v>
                  </c:pt>
                  <c:pt idx="193">
                    <c:v>0</c:v>
                  </c:pt>
                  <c:pt idx="194">
                    <c:v>0</c:v>
                  </c:pt>
                  <c:pt idx="195">
                    <c:v>0</c:v>
                  </c:pt>
                  <c:pt idx="196">
                    <c:v>0</c:v>
                  </c:pt>
                  <c:pt idx="197">
                    <c:v>0</c:v>
                  </c:pt>
                  <c:pt idx="198">
                    <c:v>0</c:v>
                  </c:pt>
                  <c:pt idx="199">
                    <c:v>2</c:v>
                  </c:pt>
                  <c:pt idx="200">
                    <c:v>1</c:v>
                  </c:pt>
                  <c:pt idx="201">
                    <c:v>0</c:v>
                  </c:pt>
                  <c:pt idx="202">
                    <c:v>0</c:v>
                  </c:pt>
                  <c:pt idx="203">
                    <c:v>2</c:v>
                  </c:pt>
                  <c:pt idx="204">
                    <c:v>0</c:v>
                  </c:pt>
                  <c:pt idx="205">
                    <c:v>0</c:v>
                  </c:pt>
                  <c:pt idx="206">
                    <c:v>1</c:v>
                  </c:pt>
                  <c:pt idx="207">
                    <c:v>0</c:v>
                  </c:pt>
                  <c:pt idx="208">
                    <c:v>0</c:v>
                  </c:pt>
                  <c:pt idx="209">
                    <c:v>0</c:v>
                  </c:pt>
                  <c:pt idx="210">
                    <c:v>0</c:v>
                  </c:pt>
                  <c:pt idx="211">
                    <c:v>3</c:v>
                  </c:pt>
                  <c:pt idx="212">
                    <c:v>0</c:v>
                  </c:pt>
                  <c:pt idx="213">
                    <c:v>0</c:v>
                  </c:pt>
                  <c:pt idx="214">
                    <c:v>0</c:v>
                  </c:pt>
                  <c:pt idx="215">
                    <c:v>0</c:v>
                  </c:pt>
                  <c:pt idx="216">
                    <c:v>0</c:v>
                  </c:pt>
                  <c:pt idx="217">
                    <c:v>0</c:v>
                  </c:pt>
                  <c:pt idx="218">
                    <c:v>1</c:v>
                  </c:pt>
                  <c:pt idx="219">
                    <c:v>0</c:v>
                  </c:pt>
                  <c:pt idx="220">
                    <c:v>1</c:v>
                  </c:pt>
                  <c:pt idx="221">
                    <c:v>0</c:v>
                  </c:pt>
                  <c:pt idx="222">
                    <c:v>0</c:v>
                  </c:pt>
                  <c:pt idx="223">
                    <c:v>1</c:v>
                  </c:pt>
                  <c:pt idx="224">
                    <c:v>0</c:v>
                  </c:pt>
                  <c:pt idx="225">
                    <c:v>0</c:v>
                  </c:pt>
                  <c:pt idx="226">
                    <c:v>0</c:v>
                  </c:pt>
                  <c:pt idx="227">
                    <c:v>3</c:v>
                  </c:pt>
                  <c:pt idx="228">
                    <c:v>0</c:v>
                  </c:pt>
                  <c:pt idx="229">
                    <c:v>1</c:v>
                  </c:pt>
                  <c:pt idx="230">
                    <c:v>1</c:v>
                  </c:pt>
                  <c:pt idx="231">
                    <c:v>0</c:v>
                  </c:pt>
                  <c:pt idx="232">
                    <c:v>1</c:v>
                  </c:pt>
                  <c:pt idx="233">
                    <c:v>0</c:v>
                  </c:pt>
                  <c:pt idx="234">
                    <c:v>1</c:v>
                  </c:pt>
                  <c:pt idx="235">
                    <c:v>1</c:v>
                  </c:pt>
                  <c:pt idx="236">
                    <c:v>1</c:v>
                  </c:pt>
                  <c:pt idx="237">
                    <c:v>0</c:v>
                  </c:pt>
                  <c:pt idx="238">
                    <c:v>3</c:v>
                  </c:pt>
                  <c:pt idx="239">
                    <c:v>0</c:v>
                  </c:pt>
                  <c:pt idx="240">
                    <c:v>0</c:v>
                  </c:pt>
                  <c:pt idx="241">
                    <c:v>0</c:v>
                  </c:pt>
                  <c:pt idx="242">
                    <c:v>0</c:v>
                  </c:pt>
                  <c:pt idx="243">
                    <c:v>0</c:v>
                  </c:pt>
                  <c:pt idx="244">
                    <c:v>2</c:v>
                  </c:pt>
                  <c:pt idx="245">
                    <c:v>0</c:v>
                  </c:pt>
                  <c:pt idx="246">
                    <c:v>0</c:v>
                  </c:pt>
                  <c:pt idx="247">
                    <c:v>0</c:v>
                  </c:pt>
                  <c:pt idx="248">
                    <c:v>1</c:v>
                  </c:pt>
                  <c:pt idx="249">
                    <c:v>0</c:v>
                  </c:pt>
                  <c:pt idx="250">
                    <c:v>0</c:v>
                  </c:pt>
                  <c:pt idx="251">
                    <c:v>0</c:v>
                  </c:pt>
                  <c:pt idx="252">
                    <c:v>0</c:v>
                  </c:pt>
                  <c:pt idx="253">
                    <c:v>0</c:v>
                  </c:pt>
                  <c:pt idx="254">
                    <c:v>0</c:v>
                  </c:pt>
                  <c:pt idx="255">
                    <c:v>0</c:v>
                  </c:pt>
                  <c:pt idx="256">
                    <c:v>0</c:v>
                  </c:pt>
                  <c:pt idx="257">
                    <c:v>2</c:v>
                  </c:pt>
                  <c:pt idx="258">
                    <c:v>0</c:v>
                  </c:pt>
                  <c:pt idx="259">
                    <c:v>0</c:v>
                  </c:pt>
                  <c:pt idx="260">
                    <c:v>0</c:v>
                  </c:pt>
                  <c:pt idx="261">
                    <c:v>1</c:v>
                  </c:pt>
                  <c:pt idx="262">
                    <c:v>0</c:v>
                  </c:pt>
                  <c:pt idx="263">
                    <c:v>0</c:v>
                  </c:pt>
                  <c:pt idx="264">
                    <c:v>1</c:v>
                  </c:pt>
                  <c:pt idx="265">
                    <c:v>0</c:v>
                  </c:pt>
                  <c:pt idx="266">
                    <c:v>0</c:v>
                  </c:pt>
                  <c:pt idx="267">
                    <c:v>0</c:v>
                  </c:pt>
                  <c:pt idx="268">
                    <c:v>0</c:v>
                  </c:pt>
                  <c:pt idx="269">
                    <c:v>1</c:v>
                  </c:pt>
                  <c:pt idx="270">
                    <c:v>1</c:v>
                  </c:pt>
                  <c:pt idx="271">
                    <c:v>0</c:v>
                  </c:pt>
                  <c:pt idx="272">
                    <c:v>0</c:v>
                  </c:pt>
                  <c:pt idx="273">
                    <c:v>1</c:v>
                  </c:pt>
                  <c:pt idx="274">
                    <c:v>1</c:v>
                  </c:pt>
                  <c:pt idx="275">
                    <c:v>0</c:v>
                  </c:pt>
                  <c:pt idx="276">
                    <c:v>0</c:v>
                  </c:pt>
                  <c:pt idx="277">
                    <c:v>0</c:v>
                  </c:pt>
                  <c:pt idx="278">
                    <c:v>1</c:v>
                  </c:pt>
                  <c:pt idx="279">
                    <c:v>0</c:v>
                  </c:pt>
                  <c:pt idx="280">
                    <c:v>1</c:v>
                  </c:pt>
                  <c:pt idx="281">
                    <c:v>3</c:v>
                  </c:pt>
                  <c:pt idx="282">
                    <c:v>0</c:v>
                  </c:pt>
                  <c:pt idx="283">
                    <c:v>0</c:v>
                  </c:pt>
                  <c:pt idx="284">
                    <c:v>0</c:v>
                  </c:pt>
                  <c:pt idx="285">
                    <c:v>1</c:v>
                  </c:pt>
                  <c:pt idx="286">
                    <c:v>3</c:v>
                  </c:pt>
                  <c:pt idx="287">
                    <c:v>0</c:v>
                  </c:pt>
                  <c:pt idx="288">
                    <c:v>0</c:v>
                  </c:pt>
                  <c:pt idx="289">
                    <c:v>1</c:v>
                  </c:pt>
                  <c:pt idx="290">
                    <c:v>3</c:v>
                  </c:pt>
                  <c:pt idx="291">
                    <c:v>0</c:v>
                  </c:pt>
                  <c:pt idx="292">
                    <c:v>0</c:v>
                  </c:pt>
                  <c:pt idx="293">
                    <c:v>2</c:v>
                  </c:pt>
                  <c:pt idx="294">
                    <c:v>0</c:v>
                  </c:pt>
                  <c:pt idx="295">
                    <c:v>0</c:v>
                  </c:pt>
                  <c:pt idx="296">
                    <c:v>0</c:v>
                  </c:pt>
                  <c:pt idx="297">
                    <c:v>1</c:v>
                  </c:pt>
                  <c:pt idx="298">
                    <c:v>0</c:v>
                  </c:pt>
                  <c:pt idx="299">
                    <c:v>1</c:v>
                  </c:pt>
                </c:lvl>
                <c:lvl>
                  <c:pt idx="0">
                    <c:v>On Time</c:v>
                  </c:pt>
                  <c:pt idx="1">
                    <c:v>Late</c:v>
                  </c:pt>
                  <c:pt idx="2">
                    <c:v>On Time</c:v>
                  </c:pt>
                  <c:pt idx="3">
                    <c:v>On Time</c:v>
                  </c:pt>
                  <c:pt idx="4">
                    <c:v>On Time</c:v>
                  </c:pt>
                  <c:pt idx="5">
                    <c:v>On Time</c:v>
                  </c:pt>
                  <c:pt idx="6">
                    <c:v>Late</c:v>
                  </c:pt>
                  <c:pt idx="7">
                    <c:v>On Time</c:v>
                  </c:pt>
                  <c:pt idx="8">
                    <c:v>Late</c:v>
                  </c:pt>
                  <c:pt idx="9">
                    <c:v>Late</c:v>
                  </c:pt>
                  <c:pt idx="10">
                    <c:v>On Time</c:v>
                  </c:pt>
                  <c:pt idx="11">
                    <c:v>On Time</c:v>
                  </c:pt>
                  <c:pt idx="12">
                    <c:v>Late</c:v>
                  </c:pt>
                  <c:pt idx="13">
                    <c:v>Late</c:v>
                  </c:pt>
                  <c:pt idx="14">
                    <c:v>On Time</c:v>
                  </c:pt>
                  <c:pt idx="15">
                    <c:v>Late</c:v>
                  </c:pt>
                  <c:pt idx="16">
                    <c:v>On Time</c:v>
                  </c:pt>
                  <c:pt idx="17">
                    <c:v>Late</c:v>
                  </c:pt>
                  <c:pt idx="18">
                    <c:v>On Time</c:v>
                  </c:pt>
                  <c:pt idx="19">
                    <c:v>On Time</c:v>
                  </c:pt>
                  <c:pt idx="20">
                    <c:v>On Time</c:v>
                  </c:pt>
                  <c:pt idx="21">
                    <c:v>Late</c:v>
                  </c:pt>
                  <c:pt idx="22">
                    <c:v>On Time</c:v>
                  </c:pt>
                  <c:pt idx="23">
                    <c:v>On Time</c:v>
                  </c:pt>
                  <c:pt idx="24">
                    <c:v>On Time</c:v>
                  </c:pt>
                  <c:pt idx="25">
                    <c:v>On Time</c:v>
                  </c:pt>
                  <c:pt idx="26">
                    <c:v>Late</c:v>
                  </c:pt>
                  <c:pt idx="27">
                    <c:v>On Time</c:v>
                  </c:pt>
                  <c:pt idx="28">
                    <c:v>Late</c:v>
                  </c:pt>
                  <c:pt idx="29">
                    <c:v>Late</c:v>
                  </c:pt>
                  <c:pt idx="30">
                    <c:v>On Time</c:v>
                  </c:pt>
                  <c:pt idx="31">
                    <c:v>On Time</c:v>
                  </c:pt>
                  <c:pt idx="32">
                    <c:v>On Time</c:v>
                  </c:pt>
                  <c:pt idx="33">
                    <c:v>Late</c:v>
                  </c:pt>
                  <c:pt idx="34">
                    <c:v>On Time</c:v>
                  </c:pt>
                  <c:pt idx="35">
                    <c:v>Late</c:v>
                  </c:pt>
                  <c:pt idx="36">
                    <c:v>Late</c:v>
                  </c:pt>
                  <c:pt idx="37">
                    <c:v>On Time</c:v>
                  </c:pt>
                  <c:pt idx="38">
                    <c:v>On Time</c:v>
                  </c:pt>
                  <c:pt idx="39">
                    <c:v>On Time</c:v>
                  </c:pt>
                  <c:pt idx="40">
                    <c:v>Late</c:v>
                  </c:pt>
                  <c:pt idx="41">
                    <c:v>On Time</c:v>
                  </c:pt>
                  <c:pt idx="42">
                    <c:v>On Time</c:v>
                  </c:pt>
                  <c:pt idx="43">
                    <c:v>On Time</c:v>
                  </c:pt>
                  <c:pt idx="44">
                    <c:v>On Time</c:v>
                  </c:pt>
                  <c:pt idx="45">
                    <c:v>Late</c:v>
                  </c:pt>
                  <c:pt idx="46">
                    <c:v>On Time</c:v>
                  </c:pt>
                  <c:pt idx="47">
                    <c:v>On Time</c:v>
                  </c:pt>
                  <c:pt idx="48">
                    <c:v>Late</c:v>
                  </c:pt>
                  <c:pt idx="49">
                    <c:v>Late</c:v>
                  </c:pt>
                  <c:pt idx="50">
                    <c:v>Late</c:v>
                  </c:pt>
                  <c:pt idx="51">
                    <c:v>Late</c:v>
                  </c:pt>
                  <c:pt idx="52">
                    <c:v>Late</c:v>
                  </c:pt>
                  <c:pt idx="53">
                    <c:v>On Time</c:v>
                  </c:pt>
                  <c:pt idx="54">
                    <c:v>Late</c:v>
                  </c:pt>
                  <c:pt idx="55">
                    <c:v>On Time</c:v>
                  </c:pt>
                  <c:pt idx="56">
                    <c:v>On Time</c:v>
                  </c:pt>
                  <c:pt idx="57">
                    <c:v>On Time</c:v>
                  </c:pt>
                  <c:pt idx="58">
                    <c:v>On Time</c:v>
                  </c:pt>
                  <c:pt idx="59">
                    <c:v>On Time</c:v>
                  </c:pt>
                  <c:pt idx="60">
                    <c:v>Late</c:v>
                  </c:pt>
                  <c:pt idx="61">
                    <c:v>On Time</c:v>
                  </c:pt>
                  <c:pt idx="62">
                    <c:v>On Time</c:v>
                  </c:pt>
                  <c:pt idx="63">
                    <c:v>On Time</c:v>
                  </c:pt>
                  <c:pt idx="64">
                    <c:v>Late</c:v>
                  </c:pt>
                  <c:pt idx="65">
                    <c:v>On Time</c:v>
                  </c:pt>
                  <c:pt idx="66">
                    <c:v>On Time</c:v>
                  </c:pt>
                  <c:pt idx="67">
                    <c:v>On Time</c:v>
                  </c:pt>
                  <c:pt idx="68">
                    <c:v>On Time</c:v>
                  </c:pt>
                  <c:pt idx="69">
                    <c:v>On Time</c:v>
                  </c:pt>
                  <c:pt idx="70">
                    <c:v>On Time</c:v>
                  </c:pt>
                  <c:pt idx="71">
                    <c:v>On Time</c:v>
                  </c:pt>
                  <c:pt idx="72">
                    <c:v>On Time</c:v>
                  </c:pt>
                  <c:pt idx="73">
                    <c:v>On Time</c:v>
                  </c:pt>
                  <c:pt idx="74">
                    <c:v>On Time</c:v>
                  </c:pt>
                  <c:pt idx="75">
                    <c:v>On Time</c:v>
                  </c:pt>
                  <c:pt idx="76">
                    <c:v>Late</c:v>
                  </c:pt>
                  <c:pt idx="77">
                    <c:v>On Time</c:v>
                  </c:pt>
                  <c:pt idx="78">
                    <c:v>Late</c:v>
                  </c:pt>
                  <c:pt idx="79">
                    <c:v>On Time</c:v>
                  </c:pt>
                  <c:pt idx="80">
                    <c:v>On Time</c:v>
                  </c:pt>
                  <c:pt idx="81">
                    <c:v>Late</c:v>
                  </c:pt>
                  <c:pt idx="82">
                    <c:v>Late</c:v>
                  </c:pt>
                  <c:pt idx="83">
                    <c:v>On Time</c:v>
                  </c:pt>
                  <c:pt idx="84">
                    <c:v>Late</c:v>
                  </c:pt>
                  <c:pt idx="85">
                    <c:v>Late</c:v>
                  </c:pt>
                  <c:pt idx="86">
                    <c:v>On Time</c:v>
                  </c:pt>
                  <c:pt idx="87">
                    <c:v>Late</c:v>
                  </c:pt>
                  <c:pt idx="88">
                    <c:v>On Time</c:v>
                  </c:pt>
                  <c:pt idx="89">
                    <c:v>On Time</c:v>
                  </c:pt>
                  <c:pt idx="90">
                    <c:v>On Time</c:v>
                  </c:pt>
                  <c:pt idx="91">
                    <c:v>On Time</c:v>
                  </c:pt>
                  <c:pt idx="92">
                    <c:v>On Time</c:v>
                  </c:pt>
                  <c:pt idx="93">
                    <c:v>Late</c:v>
                  </c:pt>
                  <c:pt idx="94">
                    <c:v>On Time</c:v>
                  </c:pt>
                  <c:pt idx="95">
                    <c:v>Late</c:v>
                  </c:pt>
                  <c:pt idx="96">
                    <c:v>On Time</c:v>
                  </c:pt>
                  <c:pt idx="97">
                    <c:v>Late</c:v>
                  </c:pt>
                  <c:pt idx="98">
                    <c:v>Late</c:v>
                  </c:pt>
                  <c:pt idx="99">
                    <c:v>On Time</c:v>
                  </c:pt>
                  <c:pt idx="100">
                    <c:v>On Time</c:v>
                  </c:pt>
                  <c:pt idx="101">
                    <c:v>Late</c:v>
                  </c:pt>
                  <c:pt idx="102">
                    <c:v>Late</c:v>
                  </c:pt>
                  <c:pt idx="103">
                    <c:v>Late</c:v>
                  </c:pt>
                  <c:pt idx="104">
                    <c:v>On Time</c:v>
                  </c:pt>
                  <c:pt idx="105">
                    <c:v>Late</c:v>
                  </c:pt>
                  <c:pt idx="106">
                    <c:v>Late</c:v>
                  </c:pt>
                  <c:pt idx="107">
                    <c:v>Late</c:v>
                  </c:pt>
                  <c:pt idx="108">
                    <c:v>On Time</c:v>
                  </c:pt>
                  <c:pt idx="109">
                    <c:v>On Time</c:v>
                  </c:pt>
                  <c:pt idx="110">
                    <c:v>On Time</c:v>
                  </c:pt>
                  <c:pt idx="111">
                    <c:v>On Time</c:v>
                  </c:pt>
                  <c:pt idx="112">
                    <c:v>On Time</c:v>
                  </c:pt>
                  <c:pt idx="113">
                    <c:v>Late</c:v>
                  </c:pt>
                  <c:pt idx="114">
                    <c:v>Late</c:v>
                  </c:pt>
                  <c:pt idx="115">
                    <c:v>Late</c:v>
                  </c:pt>
                  <c:pt idx="116">
                    <c:v>Late</c:v>
                  </c:pt>
                  <c:pt idx="117">
                    <c:v>On Time</c:v>
                  </c:pt>
                  <c:pt idx="118">
                    <c:v>On Time</c:v>
                  </c:pt>
                  <c:pt idx="119">
                    <c:v>Late</c:v>
                  </c:pt>
                  <c:pt idx="120">
                    <c:v>Late</c:v>
                  </c:pt>
                  <c:pt idx="121">
                    <c:v>On Time</c:v>
                  </c:pt>
                  <c:pt idx="122">
                    <c:v>Late</c:v>
                  </c:pt>
                  <c:pt idx="123">
                    <c:v>Late</c:v>
                  </c:pt>
                  <c:pt idx="124">
                    <c:v>On Time</c:v>
                  </c:pt>
                  <c:pt idx="125">
                    <c:v>Late</c:v>
                  </c:pt>
                  <c:pt idx="126">
                    <c:v>Late</c:v>
                  </c:pt>
                  <c:pt idx="127">
                    <c:v>On Time</c:v>
                  </c:pt>
                  <c:pt idx="128">
                    <c:v>Late</c:v>
                  </c:pt>
                  <c:pt idx="129">
                    <c:v>On Time</c:v>
                  </c:pt>
                  <c:pt idx="130">
                    <c:v>Late</c:v>
                  </c:pt>
                  <c:pt idx="131">
                    <c:v>On Time</c:v>
                  </c:pt>
                  <c:pt idx="132">
                    <c:v>Late</c:v>
                  </c:pt>
                  <c:pt idx="133">
                    <c:v>On Time</c:v>
                  </c:pt>
                  <c:pt idx="134">
                    <c:v>Late</c:v>
                  </c:pt>
                  <c:pt idx="135">
                    <c:v>On Time</c:v>
                  </c:pt>
                  <c:pt idx="136">
                    <c:v>On Time</c:v>
                  </c:pt>
                  <c:pt idx="137">
                    <c:v>On Time</c:v>
                  </c:pt>
                  <c:pt idx="138">
                    <c:v>Late</c:v>
                  </c:pt>
                  <c:pt idx="139">
                    <c:v>Late</c:v>
                  </c:pt>
                  <c:pt idx="140">
                    <c:v>On Time</c:v>
                  </c:pt>
                  <c:pt idx="141">
                    <c:v>On Time</c:v>
                  </c:pt>
                  <c:pt idx="142">
                    <c:v>On Time</c:v>
                  </c:pt>
                  <c:pt idx="143">
                    <c:v>On Time</c:v>
                  </c:pt>
                  <c:pt idx="144">
                    <c:v>On Time</c:v>
                  </c:pt>
                  <c:pt idx="145">
                    <c:v>On Time</c:v>
                  </c:pt>
                  <c:pt idx="146">
                    <c:v>On Time</c:v>
                  </c:pt>
                  <c:pt idx="147">
                    <c:v>On Time</c:v>
                  </c:pt>
                  <c:pt idx="148">
                    <c:v>On Time</c:v>
                  </c:pt>
                  <c:pt idx="149">
                    <c:v>On Time</c:v>
                  </c:pt>
                  <c:pt idx="150">
                    <c:v>On Time</c:v>
                  </c:pt>
                  <c:pt idx="151">
                    <c:v>On Time</c:v>
                  </c:pt>
                  <c:pt idx="152">
                    <c:v>On Time</c:v>
                  </c:pt>
                  <c:pt idx="153">
                    <c:v>On Time</c:v>
                  </c:pt>
                  <c:pt idx="154">
                    <c:v>Late</c:v>
                  </c:pt>
                  <c:pt idx="155">
                    <c:v>On Time</c:v>
                  </c:pt>
                  <c:pt idx="156">
                    <c:v>On Time</c:v>
                  </c:pt>
                  <c:pt idx="157">
                    <c:v>On Time</c:v>
                  </c:pt>
                  <c:pt idx="158">
                    <c:v>Late</c:v>
                  </c:pt>
                  <c:pt idx="159">
                    <c:v>On Time</c:v>
                  </c:pt>
                  <c:pt idx="160">
                    <c:v>On Time</c:v>
                  </c:pt>
                  <c:pt idx="161">
                    <c:v>On Time</c:v>
                  </c:pt>
                  <c:pt idx="162">
                    <c:v>Late</c:v>
                  </c:pt>
                  <c:pt idx="163">
                    <c:v>Late</c:v>
                  </c:pt>
                  <c:pt idx="164">
                    <c:v>On Time</c:v>
                  </c:pt>
                  <c:pt idx="165">
                    <c:v>On Time</c:v>
                  </c:pt>
                  <c:pt idx="166">
                    <c:v>Late</c:v>
                  </c:pt>
                  <c:pt idx="167">
                    <c:v>Late</c:v>
                  </c:pt>
                  <c:pt idx="168">
                    <c:v>On Time</c:v>
                  </c:pt>
                  <c:pt idx="169">
                    <c:v>On Time</c:v>
                  </c:pt>
                  <c:pt idx="170">
                    <c:v>On Time</c:v>
                  </c:pt>
                  <c:pt idx="171">
                    <c:v>On Time</c:v>
                  </c:pt>
                  <c:pt idx="172">
                    <c:v>Late</c:v>
                  </c:pt>
                  <c:pt idx="173">
                    <c:v>On Time</c:v>
                  </c:pt>
                  <c:pt idx="174">
                    <c:v>On Time</c:v>
                  </c:pt>
                  <c:pt idx="175">
                    <c:v>On Time</c:v>
                  </c:pt>
                  <c:pt idx="176">
                    <c:v>On Time</c:v>
                  </c:pt>
                  <c:pt idx="177">
                    <c:v>On Time</c:v>
                  </c:pt>
                  <c:pt idx="178">
                    <c:v>On Time</c:v>
                  </c:pt>
                  <c:pt idx="179">
                    <c:v>Late</c:v>
                  </c:pt>
                  <c:pt idx="180">
                    <c:v>Late</c:v>
                  </c:pt>
                  <c:pt idx="181">
                    <c:v>On Time</c:v>
                  </c:pt>
                  <c:pt idx="182">
                    <c:v>Late</c:v>
                  </c:pt>
                  <c:pt idx="183">
                    <c:v>On Time</c:v>
                  </c:pt>
                  <c:pt idx="184">
                    <c:v>On Time</c:v>
                  </c:pt>
                  <c:pt idx="185">
                    <c:v>Late</c:v>
                  </c:pt>
                  <c:pt idx="186">
                    <c:v>On Time</c:v>
                  </c:pt>
                  <c:pt idx="187">
                    <c:v>On Time</c:v>
                  </c:pt>
                  <c:pt idx="188">
                    <c:v>On Time</c:v>
                  </c:pt>
                  <c:pt idx="189">
                    <c:v>On Time</c:v>
                  </c:pt>
                  <c:pt idx="190">
                    <c:v>Late</c:v>
                  </c:pt>
                  <c:pt idx="191">
                    <c:v>Late</c:v>
                  </c:pt>
                  <c:pt idx="192">
                    <c:v>On Time</c:v>
                  </c:pt>
                  <c:pt idx="193">
                    <c:v>On Time</c:v>
                  </c:pt>
                  <c:pt idx="194">
                    <c:v>On Time</c:v>
                  </c:pt>
                  <c:pt idx="195">
                    <c:v>On Time</c:v>
                  </c:pt>
                  <c:pt idx="196">
                    <c:v>On Time</c:v>
                  </c:pt>
                  <c:pt idx="197">
                    <c:v>On Time</c:v>
                  </c:pt>
                  <c:pt idx="198">
                    <c:v>On Time</c:v>
                  </c:pt>
                  <c:pt idx="199">
                    <c:v>Late</c:v>
                  </c:pt>
                  <c:pt idx="200">
                    <c:v>Late</c:v>
                  </c:pt>
                  <c:pt idx="201">
                    <c:v>On Time</c:v>
                  </c:pt>
                  <c:pt idx="202">
                    <c:v>On Time</c:v>
                  </c:pt>
                  <c:pt idx="203">
                    <c:v>Late</c:v>
                  </c:pt>
                  <c:pt idx="204">
                    <c:v>On Time</c:v>
                  </c:pt>
                  <c:pt idx="205">
                    <c:v>On Time</c:v>
                  </c:pt>
                  <c:pt idx="206">
                    <c:v>Late</c:v>
                  </c:pt>
                  <c:pt idx="207">
                    <c:v>On Time</c:v>
                  </c:pt>
                  <c:pt idx="208">
                    <c:v>On Time</c:v>
                  </c:pt>
                  <c:pt idx="209">
                    <c:v>On Time</c:v>
                  </c:pt>
                  <c:pt idx="210">
                    <c:v>On Time</c:v>
                  </c:pt>
                  <c:pt idx="211">
                    <c:v>Late</c:v>
                  </c:pt>
                  <c:pt idx="212">
                    <c:v>On Time</c:v>
                  </c:pt>
                  <c:pt idx="213">
                    <c:v>On Time</c:v>
                  </c:pt>
                  <c:pt idx="214">
                    <c:v>On Time</c:v>
                  </c:pt>
                  <c:pt idx="215">
                    <c:v>On Time</c:v>
                  </c:pt>
                  <c:pt idx="216">
                    <c:v>On Time</c:v>
                  </c:pt>
                  <c:pt idx="217">
                    <c:v>On Time</c:v>
                  </c:pt>
                  <c:pt idx="218">
                    <c:v>Late</c:v>
                  </c:pt>
                  <c:pt idx="219">
                    <c:v>On Time</c:v>
                  </c:pt>
                  <c:pt idx="220">
                    <c:v>Late</c:v>
                  </c:pt>
                  <c:pt idx="221">
                    <c:v>On Time</c:v>
                  </c:pt>
                  <c:pt idx="222">
                    <c:v>On Time</c:v>
                  </c:pt>
                  <c:pt idx="223">
                    <c:v>Late</c:v>
                  </c:pt>
                  <c:pt idx="224">
                    <c:v>On Time</c:v>
                  </c:pt>
                  <c:pt idx="225">
                    <c:v>On Time</c:v>
                  </c:pt>
                  <c:pt idx="226">
                    <c:v>On Time</c:v>
                  </c:pt>
                  <c:pt idx="227">
                    <c:v>Late</c:v>
                  </c:pt>
                  <c:pt idx="228">
                    <c:v>On Time</c:v>
                  </c:pt>
                  <c:pt idx="229">
                    <c:v>Late</c:v>
                  </c:pt>
                  <c:pt idx="230">
                    <c:v>Late</c:v>
                  </c:pt>
                  <c:pt idx="231">
                    <c:v>On Time</c:v>
                  </c:pt>
                  <c:pt idx="232">
                    <c:v>Late</c:v>
                  </c:pt>
                  <c:pt idx="233">
                    <c:v>On Time</c:v>
                  </c:pt>
                  <c:pt idx="234">
                    <c:v>Late</c:v>
                  </c:pt>
                  <c:pt idx="235">
                    <c:v>Late</c:v>
                  </c:pt>
                  <c:pt idx="236">
                    <c:v>Late</c:v>
                  </c:pt>
                  <c:pt idx="237">
                    <c:v>On Time</c:v>
                  </c:pt>
                  <c:pt idx="238">
                    <c:v>Late</c:v>
                  </c:pt>
                  <c:pt idx="239">
                    <c:v>On Time</c:v>
                  </c:pt>
                  <c:pt idx="240">
                    <c:v>On Time</c:v>
                  </c:pt>
                  <c:pt idx="241">
                    <c:v>On Time</c:v>
                  </c:pt>
                  <c:pt idx="242">
                    <c:v>On Time</c:v>
                  </c:pt>
                  <c:pt idx="243">
                    <c:v>On Time</c:v>
                  </c:pt>
                  <c:pt idx="244">
                    <c:v>Late</c:v>
                  </c:pt>
                  <c:pt idx="245">
                    <c:v>On Time</c:v>
                  </c:pt>
                  <c:pt idx="246">
                    <c:v>On Time</c:v>
                  </c:pt>
                  <c:pt idx="247">
                    <c:v>On Time</c:v>
                  </c:pt>
                  <c:pt idx="248">
                    <c:v>Late</c:v>
                  </c:pt>
                  <c:pt idx="249">
                    <c:v>On Time</c:v>
                  </c:pt>
                  <c:pt idx="250">
                    <c:v>On Time</c:v>
                  </c:pt>
                  <c:pt idx="251">
                    <c:v>On Time</c:v>
                  </c:pt>
                  <c:pt idx="252">
                    <c:v>On Time</c:v>
                  </c:pt>
                  <c:pt idx="253">
                    <c:v>On Time</c:v>
                  </c:pt>
                  <c:pt idx="254">
                    <c:v>On Time</c:v>
                  </c:pt>
                  <c:pt idx="255">
                    <c:v>On Time</c:v>
                  </c:pt>
                  <c:pt idx="256">
                    <c:v>On Time</c:v>
                  </c:pt>
                  <c:pt idx="257">
                    <c:v>Late</c:v>
                  </c:pt>
                  <c:pt idx="258">
                    <c:v>On Time</c:v>
                  </c:pt>
                  <c:pt idx="259">
                    <c:v>On Time</c:v>
                  </c:pt>
                  <c:pt idx="260">
                    <c:v>On Time</c:v>
                  </c:pt>
                  <c:pt idx="261">
                    <c:v>Late</c:v>
                  </c:pt>
                  <c:pt idx="262">
                    <c:v>On Time</c:v>
                  </c:pt>
                  <c:pt idx="263">
                    <c:v>On Time</c:v>
                  </c:pt>
                  <c:pt idx="264">
                    <c:v>Late</c:v>
                  </c:pt>
                  <c:pt idx="265">
                    <c:v>On Time</c:v>
                  </c:pt>
                  <c:pt idx="266">
                    <c:v>On Time</c:v>
                  </c:pt>
                  <c:pt idx="267">
                    <c:v>On Time</c:v>
                  </c:pt>
                  <c:pt idx="268">
                    <c:v>On Time</c:v>
                  </c:pt>
                  <c:pt idx="269">
                    <c:v>Late</c:v>
                  </c:pt>
                  <c:pt idx="270">
                    <c:v>Late</c:v>
                  </c:pt>
                  <c:pt idx="271">
                    <c:v>On Time</c:v>
                  </c:pt>
                  <c:pt idx="272">
                    <c:v>On Time</c:v>
                  </c:pt>
                  <c:pt idx="273">
                    <c:v>Late</c:v>
                  </c:pt>
                  <c:pt idx="274">
                    <c:v>Late</c:v>
                  </c:pt>
                  <c:pt idx="275">
                    <c:v>On Time</c:v>
                  </c:pt>
                  <c:pt idx="276">
                    <c:v>On Time</c:v>
                  </c:pt>
                  <c:pt idx="277">
                    <c:v>On Time</c:v>
                  </c:pt>
                  <c:pt idx="278">
                    <c:v>Late</c:v>
                  </c:pt>
                  <c:pt idx="279">
                    <c:v>On Time</c:v>
                  </c:pt>
                  <c:pt idx="280">
                    <c:v>Late</c:v>
                  </c:pt>
                  <c:pt idx="281">
                    <c:v>Late</c:v>
                  </c:pt>
                  <c:pt idx="282">
                    <c:v>On Time</c:v>
                  </c:pt>
                  <c:pt idx="283">
                    <c:v>On Time</c:v>
                  </c:pt>
                  <c:pt idx="284">
                    <c:v>On Time</c:v>
                  </c:pt>
                  <c:pt idx="285">
                    <c:v>Late</c:v>
                  </c:pt>
                  <c:pt idx="286">
                    <c:v>Late</c:v>
                  </c:pt>
                  <c:pt idx="287">
                    <c:v>On Time</c:v>
                  </c:pt>
                  <c:pt idx="288">
                    <c:v>On Time</c:v>
                  </c:pt>
                  <c:pt idx="289">
                    <c:v>Late</c:v>
                  </c:pt>
                  <c:pt idx="290">
                    <c:v>Late</c:v>
                  </c:pt>
                  <c:pt idx="291">
                    <c:v>On Time</c:v>
                  </c:pt>
                  <c:pt idx="292">
                    <c:v>On Time</c:v>
                  </c:pt>
                  <c:pt idx="293">
                    <c:v>Late</c:v>
                  </c:pt>
                  <c:pt idx="294">
                    <c:v>On Time</c:v>
                  </c:pt>
                  <c:pt idx="295">
                    <c:v>On Time</c:v>
                  </c:pt>
                  <c:pt idx="296">
                    <c:v>On Time</c:v>
                  </c:pt>
                  <c:pt idx="297">
                    <c:v>Late</c:v>
                  </c:pt>
                  <c:pt idx="298">
                    <c:v>On Time</c:v>
                  </c:pt>
                  <c:pt idx="299">
                    <c:v>Late</c:v>
                  </c:pt>
                </c:lvl>
                <c:lvl>
                  <c:pt idx="0">
                    <c:v>Returning</c:v>
                  </c:pt>
                  <c:pt idx="1">
                    <c:v>New</c:v>
                  </c:pt>
                  <c:pt idx="2">
                    <c:v>Returning</c:v>
                  </c:pt>
                  <c:pt idx="3">
                    <c:v>Returning</c:v>
                  </c:pt>
                  <c:pt idx="4">
                    <c:v>Returning</c:v>
                  </c:pt>
                  <c:pt idx="5">
                    <c:v>New</c:v>
                  </c:pt>
                  <c:pt idx="6">
                    <c:v>Returning</c:v>
                  </c:pt>
                  <c:pt idx="7">
                    <c:v>New</c:v>
                  </c:pt>
                  <c:pt idx="8">
                    <c:v>Returning</c:v>
                  </c:pt>
                  <c:pt idx="9">
                    <c:v>New</c:v>
                  </c:pt>
                  <c:pt idx="10">
                    <c:v>Returning</c:v>
                  </c:pt>
                  <c:pt idx="11">
                    <c:v>Returning</c:v>
                  </c:pt>
                  <c:pt idx="12">
                    <c:v>New</c:v>
                  </c:pt>
                  <c:pt idx="13">
                    <c:v>New</c:v>
                  </c:pt>
                  <c:pt idx="14">
                    <c:v>New</c:v>
                  </c:pt>
                  <c:pt idx="15">
                    <c:v>Returning</c:v>
                  </c:pt>
                  <c:pt idx="16">
                    <c:v>Returning</c:v>
                  </c:pt>
                  <c:pt idx="17">
                    <c:v>Returning</c:v>
                  </c:pt>
                  <c:pt idx="18">
                    <c:v>Returning</c:v>
                  </c:pt>
                  <c:pt idx="19">
                    <c:v>New</c:v>
                  </c:pt>
                  <c:pt idx="20">
                    <c:v>VIP</c:v>
                  </c:pt>
                  <c:pt idx="21">
                    <c:v>New</c:v>
                  </c:pt>
                  <c:pt idx="22">
                    <c:v>Returning</c:v>
                  </c:pt>
                  <c:pt idx="23">
                    <c:v>Returning</c:v>
                  </c:pt>
                  <c:pt idx="24">
                    <c:v>Returning</c:v>
                  </c:pt>
                  <c:pt idx="25">
                    <c:v>New</c:v>
                  </c:pt>
                  <c:pt idx="26">
                    <c:v>Returning</c:v>
                  </c:pt>
                  <c:pt idx="27">
                    <c:v>Returning</c:v>
                  </c:pt>
                  <c:pt idx="28">
                    <c:v>VIP</c:v>
                  </c:pt>
                  <c:pt idx="29">
                    <c:v>New</c:v>
                  </c:pt>
                  <c:pt idx="30">
                    <c:v>Returning</c:v>
                  </c:pt>
                  <c:pt idx="31">
                    <c:v>Returning</c:v>
                  </c:pt>
                  <c:pt idx="32">
                    <c:v>Returning</c:v>
                  </c:pt>
                  <c:pt idx="33">
                    <c:v>Returning</c:v>
                  </c:pt>
                  <c:pt idx="34">
                    <c:v>New</c:v>
                  </c:pt>
                  <c:pt idx="35">
                    <c:v>New</c:v>
                  </c:pt>
                  <c:pt idx="36">
                    <c:v>New</c:v>
                  </c:pt>
                  <c:pt idx="37">
                    <c:v>New</c:v>
                  </c:pt>
                  <c:pt idx="38">
                    <c:v>New</c:v>
                  </c:pt>
                  <c:pt idx="39">
                    <c:v>Returning</c:v>
                  </c:pt>
                  <c:pt idx="40">
                    <c:v>Returning</c:v>
                  </c:pt>
                  <c:pt idx="41">
                    <c:v>Returning</c:v>
                  </c:pt>
                  <c:pt idx="42">
                    <c:v>Returning</c:v>
                  </c:pt>
                  <c:pt idx="43">
                    <c:v>New</c:v>
                  </c:pt>
                  <c:pt idx="44">
                    <c:v>New</c:v>
                  </c:pt>
                  <c:pt idx="45">
                    <c:v>Returning</c:v>
                  </c:pt>
                  <c:pt idx="46">
                    <c:v>Returning</c:v>
                  </c:pt>
                  <c:pt idx="47">
                    <c:v>Returning</c:v>
                  </c:pt>
                  <c:pt idx="48">
                    <c:v>New</c:v>
                  </c:pt>
                  <c:pt idx="49">
                    <c:v>New</c:v>
                  </c:pt>
                  <c:pt idx="50">
                    <c:v>Returning</c:v>
                  </c:pt>
                  <c:pt idx="51">
                    <c:v>Returning</c:v>
                  </c:pt>
                  <c:pt idx="52">
                    <c:v>Returning</c:v>
                  </c:pt>
                  <c:pt idx="53">
                    <c:v>New</c:v>
                  </c:pt>
                  <c:pt idx="54">
                    <c:v>New</c:v>
                  </c:pt>
                  <c:pt idx="55">
                    <c:v>New</c:v>
                  </c:pt>
                  <c:pt idx="56">
                    <c:v>Returning</c:v>
                  </c:pt>
                  <c:pt idx="57">
                    <c:v>New</c:v>
                  </c:pt>
                  <c:pt idx="58">
                    <c:v>New</c:v>
                  </c:pt>
                  <c:pt idx="59">
                    <c:v>New</c:v>
                  </c:pt>
                  <c:pt idx="60">
                    <c:v>Returning</c:v>
                  </c:pt>
                  <c:pt idx="61">
                    <c:v>New</c:v>
                  </c:pt>
                  <c:pt idx="62">
                    <c:v>New</c:v>
                  </c:pt>
                  <c:pt idx="63">
                    <c:v>New</c:v>
                  </c:pt>
                  <c:pt idx="64">
                    <c:v>Returning</c:v>
                  </c:pt>
                  <c:pt idx="65">
                    <c:v>New</c:v>
                  </c:pt>
                  <c:pt idx="66">
                    <c:v>New</c:v>
                  </c:pt>
                  <c:pt idx="67">
                    <c:v>New</c:v>
                  </c:pt>
                  <c:pt idx="68">
                    <c:v>New</c:v>
                  </c:pt>
                  <c:pt idx="69">
                    <c:v>VIP</c:v>
                  </c:pt>
                  <c:pt idx="70">
                    <c:v>Returning</c:v>
                  </c:pt>
                  <c:pt idx="71">
                    <c:v>New</c:v>
                  </c:pt>
                  <c:pt idx="72">
                    <c:v>New</c:v>
                  </c:pt>
                  <c:pt idx="73">
                    <c:v>Returning</c:v>
                  </c:pt>
                  <c:pt idx="74">
                    <c:v>New</c:v>
                  </c:pt>
                  <c:pt idx="75">
                    <c:v>VIP</c:v>
                  </c:pt>
                  <c:pt idx="76">
                    <c:v>VIP</c:v>
                  </c:pt>
                  <c:pt idx="77">
                    <c:v>New</c:v>
                  </c:pt>
                  <c:pt idx="78">
                    <c:v>Returning</c:v>
                  </c:pt>
                  <c:pt idx="79">
                    <c:v>Returning</c:v>
                  </c:pt>
                  <c:pt idx="80">
                    <c:v>New</c:v>
                  </c:pt>
                  <c:pt idx="81">
                    <c:v>Returning</c:v>
                  </c:pt>
                  <c:pt idx="82">
                    <c:v>Returning</c:v>
                  </c:pt>
                  <c:pt idx="83">
                    <c:v>New</c:v>
                  </c:pt>
                  <c:pt idx="84">
                    <c:v>New</c:v>
                  </c:pt>
                  <c:pt idx="85">
                    <c:v>VIP</c:v>
                  </c:pt>
                  <c:pt idx="86">
                    <c:v>Returning</c:v>
                  </c:pt>
                  <c:pt idx="87">
                    <c:v>Returning</c:v>
                  </c:pt>
                  <c:pt idx="88">
                    <c:v>Returning</c:v>
                  </c:pt>
                  <c:pt idx="89">
                    <c:v>New</c:v>
                  </c:pt>
                  <c:pt idx="90">
                    <c:v>New</c:v>
                  </c:pt>
                  <c:pt idx="91">
                    <c:v>Returning</c:v>
                  </c:pt>
                  <c:pt idx="92">
                    <c:v>Returning</c:v>
                  </c:pt>
                  <c:pt idx="93">
                    <c:v>New</c:v>
                  </c:pt>
                  <c:pt idx="94">
                    <c:v>New</c:v>
                  </c:pt>
                  <c:pt idx="95">
                    <c:v>Returning</c:v>
                  </c:pt>
                  <c:pt idx="96">
                    <c:v>New</c:v>
                  </c:pt>
                  <c:pt idx="97">
                    <c:v>New</c:v>
                  </c:pt>
                  <c:pt idx="98">
                    <c:v>New</c:v>
                  </c:pt>
                  <c:pt idx="99">
                    <c:v>Returning</c:v>
                  </c:pt>
                  <c:pt idx="100">
                    <c:v>Returning</c:v>
                  </c:pt>
                  <c:pt idx="101">
                    <c:v>New</c:v>
                  </c:pt>
                  <c:pt idx="102">
                    <c:v>Returning</c:v>
                  </c:pt>
                  <c:pt idx="103">
                    <c:v>Returning</c:v>
                  </c:pt>
                  <c:pt idx="104">
                    <c:v>Returning</c:v>
                  </c:pt>
                  <c:pt idx="105">
                    <c:v>Returning</c:v>
                  </c:pt>
                  <c:pt idx="106">
                    <c:v>VIP</c:v>
                  </c:pt>
                  <c:pt idx="107">
                    <c:v>Returning</c:v>
                  </c:pt>
                  <c:pt idx="108">
                    <c:v>New</c:v>
                  </c:pt>
                  <c:pt idx="109">
                    <c:v>Returning</c:v>
                  </c:pt>
                  <c:pt idx="110">
                    <c:v>New</c:v>
                  </c:pt>
                  <c:pt idx="111">
                    <c:v>Returning</c:v>
                  </c:pt>
                  <c:pt idx="112">
                    <c:v>New</c:v>
                  </c:pt>
                  <c:pt idx="113">
                    <c:v>Returning</c:v>
                  </c:pt>
                  <c:pt idx="114">
                    <c:v>VIP</c:v>
                  </c:pt>
                  <c:pt idx="115">
                    <c:v>New</c:v>
                  </c:pt>
                  <c:pt idx="116">
                    <c:v>VIP</c:v>
                  </c:pt>
                  <c:pt idx="117">
                    <c:v>VIP</c:v>
                  </c:pt>
                  <c:pt idx="118">
                    <c:v>New</c:v>
                  </c:pt>
                  <c:pt idx="119">
                    <c:v>Returning</c:v>
                  </c:pt>
                  <c:pt idx="120">
                    <c:v>New</c:v>
                  </c:pt>
                  <c:pt idx="121">
                    <c:v>Returning</c:v>
                  </c:pt>
                  <c:pt idx="122">
                    <c:v>New</c:v>
                  </c:pt>
                  <c:pt idx="123">
                    <c:v>VIP</c:v>
                  </c:pt>
                  <c:pt idx="124">
                    <c:v>New</c:v>
                  </c:pt>
                  <c:pt idx="125">
                    <c:v>New</c:v>
                  </c:pt>
                  <c:pt idx="126">
                    <c:v>VIP</c:v>
                  </c:pt>
                  <c:pt idx="127">
                    <c:v>VIP</c:v>
                  </c:pt>
                  <c:pt idx="128">
                    <c:v>Returning</c:v>
                  </c:pt>
                  <c:pt idx="129">
                    <c:v>VIP</c:v>
                  </c:pt>
                  <c:pt idx="130">
                    <c:v>Returning</c:v>
                  </c:pt>
                  <c:pt idx="131">
                    <c:v>New</c:v>
                  </c:pt>
                  <c:pt idx="132">
                    <c:v>Returning</c:v>
                  </c:pt>
                  <c:pt idx="133">
                    <c:v>New</c:v>
                  </c:pt>
                  <c:pt idx="134">
                    <c:v>Returning</c:v>
                  </c:pt>
                  <c:pt idx="135">
                    <c:v>New</c:v>
                  </c:pt>
                  <c:pt idx="136">
                    <c:v>New</c:v>
                  </c:pt>
                  <c:pt idx="137">
                    <c:v>New</c:v>
                  </c:pt>
                  <c:pt idx="138">
                    <c:v>New</c:v>
                  </c:pt>
                  <c:pt idx="139">
                    <c:v>New</c:v>
                  </c:pt>
                  <c:pt idx="140">
                    <c:v>New</c:v>
                  </c:pt>
                  <c:pt idx="141">
                    <c:v>New</c:v>
                  </c:pt>
                  <c:pt idx="142">
                    <c:v>Returning</c:v>
                  </c:pt>
                  <c:pt idx="143">
                    <c:v>New</c:v>
                  </c:pt>
                  <c:pt idx="144">
                    <c:v>New</c:v>
                  </c:pt>
                  <c:pt idx="145">
                    <c:v>New</c:v>
                  </c:pt>
                  <c:pt idx="146">
                    <c:v>Returning</c:v>
                  </c:pt>
                  <c:pt idx="147">
                    <c:v>New</c:v>
                  </c:pt>
                  <c:pt idx="148">
                    <c:v>New</c:v>
                  </c:pt>
                  <c:pt idx="149">
                    <c:v>VIP</c:v>
                  </c:pt>
                  <c:pt idx="150">
                    <c:v>New</c:v>
                  </c:pt>
                  <c:pt idx="151">
                    <c:v>New</c:v>
                  </c:pt>
                  <c:pt idx="152">
                    <c:v>New</c:v>
                  </c:pt>
                  <c:pt idx="153">
                    <c:v>Returning</c:v>
                  </c:pt>
                  <c:pt idx="154">
                    <c:v>New</c:v>
                  </c:pt>
                  <c:pt idx="155">
                    <c:v>New</c:v>
                  </c:pt>
                  <c:pt idx="156">
                    <c:v>New</c:v>
                  </c:pt>
                  <c:pt idx="157">
                    <c:v>VIP</c:v>
                  </c:pt>
                  <c:pt idx="158">
                    <c:v>New</c:v>
                  </c:pt>
                  <c:pt idx="159">
                    <c:v>New</c:v>
                  </c:pt>
                  <c:pt idx="160">
                    <c:v>New</c:v>
                  </c:pt>
                  <c:pt idx="161">
                    <c:v>VIP</c:v>
                  </c:pt>
                  <c:pt idx="162">
                    <c:v>Returning</c:v>
                  </c:pt>
                  <c:pt idx="163">
                    <c:v>Returning</c:v>
                  </c:pt>
                  <c:pt idx="164">
                    <c:v>New</c:v>
                  </c:pt>
                  <c:pt idx="165">
                    <c:v>Returning</c:v>
                  </c:pt>
                  <c:pt idx="166">
                    <c:v>Returning</c:v>
                  </c:pt>
                  <c:pt idx="167">
                    <c:v>Returning</c:v>
                  </c:pt>
                  <c:pt idx="168">
                    <c:v>VIP</c:v>
                  </c:pt>
                  <c:pt idx="169">
                    <c:v>Returning</c:v>
                  </c:pt>
                  <c:pt idx="170">
                    <c:v>Returning</c:v>
                  </c:pt>
                  <c:pt idx="171">
                    <c:v>Returning</c:v>
                  </c:pt>
                  <c:pt idx="172">
                    <c:v>New</c:v>
                  </c:pt>
                  <c:pt idx="173">
                    <c:v>New</c:v>
                  </c:pt>
                  <c:pt idx="174">
                    <c:v>New</c:v>
                  </c:pt>
                  <c:pt idx="175">
                    <c:v>Returning</c:v>
                  </c:pt>
                  <c:pt idx="176">
                    <c:v>New</c:v>
                  </c:pt>
                  <c:pt idx="177">
                    <c:v>VIP</c:v>
                  </c:pt>
                  <c:pt idx="178">
                    <c:v>Returning</c:v>
                  </c:pt>
                  <c:pt idx="179">
                    <c:v>New</c:v>
                  </c:pt>
                  <c:pt idx="180">
                    <c:v>New</c:v>
                  </c:pt>
                  <c:pt idx="181">
                    <c:v>New</c:v>
                  </c:pt>
                  <c:pt idx="182">
                    <c:v>New</c:v>
                  </c:pt>
                  <c:pt idx="183">
                    <c:v>Returning</c:v>
                  </c:pt>
                  <c:pt idx="184">
                    <c:v>New</c:v>
                  </c:pt>
                  <c:pt idx="185">
                    <c:v>Returning</c:v>
                  </c:pt>
                  <c:pt idx="186">
                    <c:v>Returning</c:v>
                  </c:pt>
                  <c:pt idx="187">
                    <c:v>Returning</c:v>
                  </c:pt>
                  <c:pt idx="188">
                    <c:v>Returning</c:v>
                  </c:pt>
                  <c:pt idx="189">
                    <c:v>Returning</c:v>
                  </c:pt>
                  <c:pt idx="190">
                    <c:v>Returning</c:v>
                  </c:pt>
                  <c:pt idx="191">
                    <c:v>Returning</c:v>
                  </c:pt>
                  <c:pt idx="192">
                    <c:v>Returning</c:v>
                  </c:pt>
                  <c:pt idx="193">
                    <c:v>Returning</c:v>
                  </c:pt>
                  <c:pt idx="194">
                    <c:v>New</c:v>
                  </c:pt>
                  <c:pt idx="195">
                    <c:v>New</c:v>
                  </c:pt>
                  <c:pt idx="196">
                    <c:v>VIP</c:v>
                  </c:pt>
                  <c:pt idx="197">
                    <c:v>Returning</c:v>
                  </c:pt>
                  <c:pt idx="198">
                    <c:v>New</c:v>
                  </c:pt>
                  <c:pt idx="199">
                    <c:v>Returning</c:v>
                  </c:pt>
                  <c:pt idx="200">
                    <c:v>Returning</c:v>
                  </c:pt>
                  <c:pt idx="201">
                    <c:v>New</c:v>
                  </c:pt>
                  <c:pt idx="202">
                    <c:v>Returning</c:v>
                  </c:pt>
                  <c:pt idx="203">
                    <c:v>Returning</c:v>
                  </c:pt>
                  <c:pt idx="204">
                    <c:v>New</c:v>
                  </c:pt>
                  <c:pt idx="205">
                    <c:v>New</c:v>
                  </c:pt>
                  <c:pt idx="206">
                    <c:v>New</c:v>
                  </c:pt>
                  <c:pt idx="207">
                    <c:v>New</c:v>
                  </c:pt>
                  <c:pt idx="208">
                    <c:v>Returning</c:v>
                  </c:pt>
                  <c:pt idx="209">
                    <c:v>Returning</c:v>
                  </c:pt>
                  <c:pt idx="210">
                    <c:v>New</c:v>
                  </c:pt>
                  <c:pt idx="211">
                    <c:v>New</c:v>
                  </c:pt>
                  <c:pt idx="212">
                    <c:v>VIP</c:v>
                  </c:pt>
                  <c:pt idx="213">
                    <c:v>New</c:v>
                  </c:pt>
                  <c:pt idx="214">
                    <c:v>Returning</c:v>
                  </c:pt>
                  <c:pt idx="215">
                    <c:v>VIP</c:v>
                  </c:pt>
                  <c:pt idx="216">
                    <c:v>Returning</c:v>
                  </c:pt>
                  <c:pt idx="217">
                    <c:v>New</c:v>
                  </c:pt>
                  <c:pt idx="218">
                    <c:v>New</c:v>
                  </c:pt>
                  <c:pt idx="219">
                    <c:v>Returning</c:v>
                  </c:pt>
                  <c:pt idx="220">
                    <c:v>New</c:v>
                  </c:pt>
                  <c:pt idx="221">
                    <c:v>Returning</c:v>
                  </c:pt>
                  <c:pt idx="222">
                    <c:v>VIP</c:v>
                  </c:pt>
                  <c:pt idx="223">
                    <c:v>New</c:v>
                  </c:pt>
                  <c:pt idx="224">
                    <c:v>VIP</c:v>
                  </c:pt>
                  <c:pt idx="225">
                    <c:v>New</c:v>
                  </c:pt>
                  <c:pt idx="226">
                    <c:v>Returning</c:v>
                  </c:pt>
                  <c:pt idx="227">
                    <c:v>VIP</c:v>
                  </c:pt>
                  <c:pt idx="228">
                    <c:v>New</c:v>
                  </c:pt>
                  <c:pt idx="229">
                    <c:v>New</c:v>
                  </c:pt>
                  <c:pt idx="230">
                    <c:v>Returning</c:v>
                  </c:pt>
                  <c:pt idx="231">
                    <c:v>Returning</c:v>
                  </c:pt>
                  <c:pt idx="232">
                    <c:v>New</c:v>
                  </c:pt>
                  <c:pt idx="233">
                    <c:v>Returning</c:v>
                  </c:pt>
                  <c:pt idx="234">
                    <c:v>New</c:v>
                  </c:pt>
                  <c:pt idx="235">
                    <c:v>New</c:v>
                  </c:pt>
                  <c:pt idx="236">
                    <c:v>VIP</c:v>
                  </c:pt>
                  <c:pt idx="237">
                    <c:v>VIP</c:v>
                  </c:pt>
                  <c:pt idx="238">
                    <c:v>Returning</c:v>
                  </c:pt>
                  <c:pt idx="239">
                    <c:v>New</c:v>
                  </c:pt>
                  <c:pt idx="240">
                    <c:v>New</c:v>
                  </c:pt>
                  <c:pt idx="241">
                    <c:v>New</c:v>
                  </c:pt>
                  <c:pt idx="242">
                    <c:v>New</c:v>
                  </c:pt>
                  <c:pt idx="243">
                    <c:v>VIP</c:v>
                  </c:pt>
                  <c:pt idx="244">
                    <c:v>New</c:v>
                  </c:pt>
                  <c:pt idx="245">
                    <c:v>Returning</c:v>
                  </c:pt>
                  <c:pt idx="246">
                    <c:v>Returning</c:v>
                  </c:pt>
                  <c:pt idx="247">
                    <c:v>VIP</c:v>
                  </c:pt>
                  <c:pt idx="248">
                    <c:v>New</c:v>
                  </c:pt>
                  <c:pt idx="249">
                    <c:v>Returning</c:v>
                  </c:pt>
                  <c:pt idx="250">
                    <c:v>VIP</c:v>
                  </c:pt>
                  <c:pt idx="251">
                    <c:v>New</c:v>
                  </c:pt>
                  <c:pt idx="252">
                    <c:v>Returning</c:v>
                  </c:pt>
                  <c:pt idx="253">
                    <c:v>Returning</c:v>
                  </c:pt>
                  <c:pt idx="254">
                    <c:v>New</c:v>
                  </c:pt>
                  <c:pt idx="255">
                    <c:v>New</c:v>
                  </c:pt>
                  <c:pt idx="256">
                    <c:v>New</c:v>
                  </c:pt>
                  <c:pt idx="257">
                    <c:v>Returning</c:v>
                  </c:pt>
                  <c:pt idx="258">
                    <c:v>New</c:v>
                  </c:pt>
                  <c:pt idx="259">
                    <c:v>Returning</c:v>
                  </c:pt>
                  <c:pt idx="260">
                    <c:v>VIP</c:v>
                  </c:pt>
                  <c:pt idx="261">
                    <c:v>VIP</c:v>
                  </c:pt>
                  <c:pt idx="262">
                    <c:v>New</c:v>
                  </c:pt>
                  <c:pt idx="263">
                    <c:v>VIP</c:v>
                  </c:pt>
                  <c:pt idx="264">
                    <c:v>Returning</c:v>
                  </c:pt>
                  <c:pt idx="265">
                    <c:v>New</c:v>
                  </c:pt>
                  <c:pt idx="266">
                    <c:v>New</c:v>
                  </c:pt>
                  <c:pt idx="267">
                    <c:v>Returning</c:v>
                  </c:pt>
                  <c:pt idx="268">
                    <c:v>New</c:v>
                  </c:pt>
                  <c:pt idx="269">
                    <c:v>VIP</c:v>
                  </c:pt>
                  <c:pt idx="270">
                    <c:v>New</c:v>
                  </c:pt>
                  <c:pt idx="271">
                    <c:v>Returning</c:v>
                  </c:pt>
                  <c:pt idx="272">
                    <c:v>Returning</c:v>
                  </c:pt>
                  <c:pt idx="273">
                    <c:v>VIP</c:v>
                  </c:pt>
                  <c:pt idx="274">
                    <c:v>VIP</c:v>
                  </c:pt>
                  <c:pt idx="275">
                    <c:v>New</c:v>
                  </c:pt>
                  <c:pt idx="276">
                    <c:v>Returning</c:v>
                  </c:pt>
                  <c:pt idx="277">
                    <c:v>New</c:v>
                  </c:pt>
                  <c:pt idx="278">
                    <c:v>Returning</c:v>
                  </c:pt>
                  <c:pt idx="279">
                    <c:v>New</c:v>
                  </c:pt>
                  <c:pt idx="280">
                    <c:v>New</c:v>
                  </c:pt>
                  <c:pt idx="281">
                    <c:v>New</c:v>
                  </c:pt>
                  <c:pt idx="282">
                    <c:v>New</c:v>
                  </c:pt>
                  <c:pt idx="283">
                    <c:v>VIP</c:v>
                  </c:pt>
                  <c:pt idx="284">
                    <c:v>New</c:v>
                  </c:pt>
                  <c:pt idx="285">
                    <c:v>VIP</c:v>
                  </c:pt>
                  <c:pt idx="286">
                    <c:v>New</c:v>
                  </c:pt>
                  <c:pt idx="287">
                    <c:v>New</c:v>
                  </c:pt>
                  <c:pt idx="288">
                    <c:v>New</c:v>
                  </c:pt>
                  <c:pt idx="289">
                    <c:v>Returning</c:v>
                  </c:pt>
                  <c:pt idx="290">
                    <c:v>Returning</c:v>
                  </c:pt>
                  <c:pt idx="291">
                    <c:v>Returning</c:v>
                  </c:pt>
                  <c:pt idx="292">
                    <c:v>New</c:v>
                  </c:pt>
                  <c:pt idx="293">
                    <c:v>New</c:v>
                  </c:pt>
                  <c:pt idx="294">
                    <c:v>Returning</c:v>
                  </c:pt>
                  <c:pt idx="295">
                    <c:v>New</c:v>
                  </c:pt>
                  <c:pt idx="296">
                    <c:v>New</c:v>
                  </c:pt>
                  <c:pt idx="297">
                    <c:v>New</c:v>
                  </c:pt>
                  <c:pt idx="298">
                    <c:v>VIP</c:v>
                  </c:pt>
                  <c:pt idx="299">
                    <c:v>New</c:v>
                  </c:pt>
                </c:lvl>
                <c:lvl>
                  <c:pt idx="0">
                    <c:v>3.8</c:v>
                  </c:pt>
                  <c:pt idx="1">
                    <c:v>21.6</c:v>
                  </c:pt>
                  <c:pt idx="2">
                    <c:v>15.7</c:v>
                  </c:pt>
                  <c:pt idx="3">
                    <c:v>22.0</c:v>
                  </c:pt>
                  <c:pt idx="4">
                    <c:v>18.3</c:v>
                  </c:pt>
                  <c:pt idx="5">
                    <c:v>22.8</c:v>
                  </c:pt>
                  <c:pt idx="6">
                    <c:v>21.3</c:v>
                  </c:pt>
                  <c:pt idx="7">
                    <c:v>22.5</c:v>
                  </c:pt>
                  <c:pt idx="8">
                    <c:v>9.3</c:v>
                  </c:pt>
                  <c:pt idx="9">
                    <c:v>17.6</c:v>
                  </c:pt>
                  <c:pt idx="10">
                    <c:v>3.0</c:v>
                  </c:pt>
                  <c:pt idx="11">
                    <c:v>24.6</c:v>
                  </c:pt>
                  <c:pt idx="12">
                    <c:v>2.1</c:v>
                  </c:pt>
                  <c:pt idx="13">
                    <c:v>7.2</c:v>
                  </c:pt>
                  <c:pt idx="14">
                    <c:v>3.1</c:v>
                  </c:pt>
                  <c:pt idx="15">
                    <c:v>4.1</c:v>
                  </c:pt>
                  <c:pt idx="16">
                    <c:v>1.6</c:v>
                  </c:pt>
                  <c:pt idx="17">
                    <c:v>21.0</c:v>
                  </c:pt>
                  <c:pt idx="18">
                    <c:v>4.7</c:v>
                  </c:pt>
                  <c:pt idx="19">
                    <c:v>7.8</c:v>
                  </c:pt>
                  <c:pt idx="20">
                    <c:v>24.8</c:v>
                  </c:pt>
                  <c:pt idx="21">
                    <c:v>4.6</c:v>
                  </c:pt>
                  <c:pt idx="22">
                    <c:v>1.6</c:v>
                  </c:pt>
                  <c:pt idx="23">
                    <c:v>16.1</c:v>
                  </c:pt>
                  <c:pt idx="24">
                    <c:v>21.4</c:v>
                  </c:pt>
                  <c:pt idx="25">
                    <c:v>8.6</c:v>
                  </c:pt>
                  <c:pt idx="26">
                    <c:v>8.9</c:v>
                  </c:pt>
                  <c:pt idx="27">
                    <c:v>2.5</c:v>
                  </c:pt>
                  <c:pt idx="28">
                    <c:v>11.2</c:v>
                  </c:pt>
                  <c:pt idx="29">
                    <c:v>16.2</c:v>
                  </c:pt>
                  <c:pt idx="30">
                    <c:v>13.8</c:v>
                  </c:pt>
                  <c:pt idx="31">
                    <c:v>19.3</c:v>
                  </c:pt>
                  <c:pt idx="32">
                    <c:v>8.0</c:v>
                  </c:pt>
                  <c:pt idx="33">
                    <c:v>25.8</c:v>
                  </c:pt>
                  <c:pt idx="34">
                    <c:v>8.4</c:v>
                  </c:pt>
                  <c:pt idx="35">
                    <c:v>25.2</c:v>
                  </c:pt>
                  <c:pt idx="36">
                    <c:v>26.6</c:v>
                  </c:pt>
                  <c:pt idx="37">
                    <c:v>8.7</c:v>
                  </c:pt>
                  <c:pt idx="38">
                    <c:v>3.7</c:v>
                  </c:pt>
                  <c:pt idx="39">
                    <c:v>14.0</c:v>
                  </c:pt>
                  <c:pt idx="40">
                    <c:v>14.0</c:v>
                  </c:pt>
                  <c:pt idx="41">
                    <c:v>16.8</c:v>
                  </c:pt>
                  <c:pt idx="42">
                    <c:v>15.6</c:v>
                  </c:pt>
                  <c:pt idx="43">
                    <c:v>13.0</c:v>
                  </c:pt>
                  <c:pt idx="44">
                    <c:v>21.4</c:v>
                  </c:pt>
                  <c:pt idx="45">
                    <c:v>15.2</c:v>
                  </c:pt>
                  <c:pt idx="46">
                    <c:v>11.3</c:v>
                  </c:pt>
                  <c:pt idx="47">
                    <c:v>9.9</c:v>
                  </c:pt>
                  <c:pt idx="48">
                    <c:v>20.3</c:v>
                  </c:pt>
                  <c:pt idx="49">
                    <c:v>13.2</c:v>
                  </c:pt>
                  <c:pt idx="50">
                    <c:v>27.8</c:v>
                  </c:pt>
                  <c:pt idx="51">
                    <c:v>16.6</c:v>
                  </c:pt>
                  <c:pt idx="52">
                    <c:v>14.0</c:v>
                  </c:pt>
                  <c:pt idx="53">
                    <c:v>15.9</c:v>
                  </c:pt>
                  <c:pt idx="54">
                    <c:v>15.8</c:v>
                  </c:pt>
                  <c:pt idx="55">
                    <c:v>16.8</c:v>
                  </c:pt>
                  <c:pt idx="56">
                    <c:v>24.2</c:v>
                  </c:pt>
                  <c:pt idx="57">
                    <c:v>24.4</c:v>
                  </c:pt>
                  <c:pt idx="58">
                    <c:v>26.1</c:v>
                  </c:pt>
                  <c:pt idx="59">
                    <c:v>7.5</c:v>
                  </c:pt>
                  <c:pt idx="60">
                    <c:v>11.7</c:v>
                  </c:pt>
                  <c:pt idx="61">
                    <c:v>23.7</c:v>
                  </c:pt>
                  <c:pt idx="62">
                    <c:v>24.2</c:v>
                  </c:pt>
                  <c:pt idx="63">
                    <c:v>24.5</c:v>
                  </c:pt>
                  <c:pt idx="64">
                    <c:v>24.1</c:v>
                  </c:pt>
                  <c:pt idx="65">
                    <c:v>27.9</c:v>
                  </c:pt>
                  <c:pt idx="66">
                    <c:v>12.9</c:v>
                  </c:pt>
                  <c:pt idx="67">
                    <c:v>13.7</c:v>
                  </c:pt>
                  <c:pt idx="68">
                    <c:v>13.6</c:v>
                  </c:pt>
                  <c:pt idx="69">
                    <c:v>16.5</c:v>
                  </c:pt>
                  <c:pt idx="70">
                    <c:v>18.1</c:v>
                  </c:pt>
                  <c:pt idx="71">
                    <c:v>5.0</c:v>
                  </c:pt>
                  <c:pt idx="72">
                    <c:v>27.1</c:v>
                  </c:pt>
                  <c:pt idx="73">
                    <c:v>4.4</c:v>
                  </c:pt>
                  <c:pt idx="74">
                    <c:v>9.6</c:v>
                  </c:pt>
                  <c:pt idx="75">
                    <c:v>23.6</c:v>
                  </c:pt>
                  <c:pt idx="76">
                    <c:v>3.9</c:v>
                  </c:pt>
                  <c:pt idx="77">
                    <c:v>7.2</c:v>
                  </c:pt>
                  <c:pt idx="78">
                    <c:v>11.0</c:v>
                  </c:pt>
                  <c:pt idx="79">
                    <c:v>17.2</c:v>
                  </c:pt>
                  <c:pt idx="80">
                    <c:v>19.7</c:v>
                  </c:pt>
                  <c:pt idx="81">
                    <c:v>15.6</c:v>
                  </c:pt>
                  <c:pt idx="82">
                    <c:v>12.5</c:v>
                  </c:pt>
                  <c:pt idx="83">
                    <c:v>4.1</c:v>
                  </c:pt>
                  <c:pt idx="84">
                    <c:v>9.8</c:v>
                  </c:pt>
                  <c:pt idx="85">
                    <c:v>22.9</c:v>
                  </c:pt>
                  <c:pt idx="86">
                    <c:v>16.5</c:v>
                  </c:pt>
                  <c:pt idx="87">
                    <c:v>20.6</c:v>
                  </c:pt>
                  <c:pt idx="88">
                    <c:v>8.7</c:v>
                  </c:pt>
                  <c:pt idx="89">
                    <c:v>3.0</c:v>
                  </c:pt>
                  <c:pt idx="90">
                    <c:v>23.6</c:v>
                  </c:pt>
                  <c:pt idx="91">
                    <c:v>9.2</c:v>
                  </c:pt>
                  <c:pt idx="92">
                    <c:v>12.0</c:v>
                  </c:pt>
                  <c:pt idx="93">
                    <c:v>7.8</c:v>
                  </c:pt>
                  <c:pt idx="94">
                    <c:v>10.1</c:v>
                  </c:pt>
                  <c:pt idx="95">
                    <c:v>13.7</c:v>
                  </c:pt>
                  <c:pt idx="96">
                    <c:v>13.4</c:v>
                  </c:pt>
                  <c:pt idx="97">
                    <c:v>20.3</c:v>
                  </c:pt>
                  <c:pt idx="98">
                    <c:v>9.0</c:v>
                  </c:pt>
                  <c:pt idx="99">
                    <c:v>11.5</c:v>
                  </c:pt>
                  <c:pt idx="100">
                    <c:v>26.6</c:v>
                  </c:pt>
                  <c:pt idx="101">
                    <c:v>17.3</c:v>
                  </c:pt>
                  <c:pt idx="102">
                    <c:v>7.7</c:v>
                  </c:pt>
                  <c:pt idx="103">
                    <c:v>12.6</c:v>
                  </c:pt>
                  <c:pt idx="104">
                    <c:v>13.4</c:v>
                  </c:pt>
                  <c:pt idx="105">
                    <c:v>11.7</c:v>
                  </c:pt>
                  <c:pt idx="106">
                    <c:v>13.4</c:v>
                  </c:pt>
                  <c:pt idx="107">
                    <c:v>4.7</c:v>
                  </c:pt>
                  <c:pt idx="108">
                    <c:v>10.8</c:v>
                  </c:pt>
                  <c:pt idx="109">
                    <c:v>11.8</c:v>
                  </c:pt>
                  <c:pt idx="110">
                    <c:v>16.0</c:v>
                  </c:pt>
                  <c:pt idx="111">
                    <c:v>6.8</c:v>
                  </c:pt>
                  <c:pt idx="112">
                    <c:v>8.7</c:v>
                  </c:pt>
                  <c:pt idx="113">
                    <c:v>20.8</c:v>
                  </c:pt>
                  <c:pt idx="114">
                    <c:v>20.8</c:v>
                  </c:pt>
                  <c:pt idx="115">
                    <c:v>26.7</c:v>
                  </c:pt>
                  <c:pt idx="116">
                    <c:v>21.7</c:v>
                  </c:pt>
                  <c:pt idx="117">
                    <c:v>4.6</c:v>
                  </c:pt>
                  <c:pt idx="118">
                    <c:v>23.0</c:v>
                  </c:pt>
                  <c:pt idx="119">
                    <c:v>4.7</c:v>
                  </c:pt>
                  <c:pt idx="120">
                    <c:v>15.4</c:v>
                  </c:pt>
                  <c:pt idx="121">
                    <c:v>6.3</c:v>
                  </c:pt>
                  <c:pt idx="122">
                    <c:v>8.1</c:v>
                  </c:pt>
                  <c:pt idx="123">
                    <c:v>20.6</c:v>
                  </c:pt>
                  <c:pt idx="124">
                    <c:v>9.2</c:v>
                  </c:pt>
                  <c:pt idx="125">
                    <c:v>10.5</c:v>
                  </c:pt>
                  <c:pt idx="126">
                    <c:v>5.2</c:v>
                  </c:pt>
                  <c:pt idx="127">
                    <c:v>13.9</c:v>
                  </c:pt>
                  <c:pt idx="128">
                    <c:v>9.1</c:v>
                  </c:pt>
                  <c:pt idx="129">
                    <c:v>11.1</c:v>
                  </c:pt>
                  <c:pt idx="130">
                    <c:v>21.5</c:v>
                  </c:pt>
                  <c:pt idx="131">
                    <c:v>26.2</c:v>
                  </c:pt>
                  <c:pt idx="132">
                    <c:v>19.4</c:v>
                  </c:pt>
                  <c:pt idx="133">
                    <c:v>20.6</c:v>
                  </c:pt>
                  <c:pt idx="134">
                    <c:v>12.4</c:v>
                  </c:pt>
                  <c:pt idx="135">
                    <c:v>28.0</c:v>
                  </c:pt>
                  <c:pt idx="136">
                    <c:v>7.5</c:v>
                  </c:pt>
                  <c:pt idx="137">
                    <c:v>16.7</c:v>
                  </c:pt>
                  <c:pt idx="138">
                    <c:v>23.4</c:v>
                  </c:pt>
                  <c:pt idx="139">
                    <c:v>20.5</c:v>
                  </c:pt>
                  <c:pt idx="140">
                    <c:v>7.7</c:v>
                  </c:pt>
                  <c:pt idx="141">
                    <c:v>9.4</c:v>
                  </c:pt>
                  <c:pt idx="142">
                    <c:v>18.7</c:v>
                  </c:pt>
                  <c:pt idx="143">
                    <c:v>3.8</c:v>
                  </c:pt>
                  <c:pt idx="144">
                    <c:v>1.8</c:v>
                  </c:pt>
                  <c:pt idx="145">
                    <c:v>11.2</c:v>
                  </c:pt>
                  <c:pt idx="146">
                    <c:v>15.4</c:v>
                  </c:pt>
                  <c:pt idx="147">
                    <c:v>24.1</c:v>
                  </c:pt>
                  <c:pt idx="148">
                    <c:v>20.7</c:v>
                  </c:pt>
                  <c:pt idx="149">
                    <c:v>12.3</c:v>
                  </c:pt>
                  <c:pt idx="150">
                    <c:v>27.8</c:v>
                  </c:pt>
                  <c:pt idx="151">
                    <c:v>8.1</c:v>
                  </c:pt>
                  <c:pt idx="152">
                    <c:v>19.3</c:v>
                  </c:pt>
                  <c:pt idx="153">
                    <c:v>10.0</c:v>
                  </c:pt>
                  <c:pt idx="154">
                    <c:v>16.2</c:v>
                  </c:pt>
                  <c:pt idx="155">
                    <c:v>14.0</c:v>
                  </c:pt>
                  <c:pt idx="156">
                    <c:v>25.9</c:v>
                  </c:pt>
                  <c:pt idx="157">
                    <c:v>20.7</c:v>
                  </c:pt>
                  <c:pt idx="158">
                    <c:v>12.0</c:v>
                  </c:pt>
                  <c:pt idx="159">
                    <c:v>21.7</c:v>
                  </c:pt>
                  <c:pt idx="160">
                    <c:v>10.2</c:v>
                  </c:pt>
                  <c:pt idx="161">
                    <c:v>6.0</c:v>
                  </c:pt>
                  <c:pt idx="162">
                    <c:v>3.3</c:v>
                  </c:pt>
                  <c:pt idx="163">
                    <c:v>12.4</c:v>
                  </c:pt>
                  <c:pt idx="164">
                    <c:v>23.1</c:v>
                  </c:pt>
                  <c:pt idx="165">
                    <c:v>11.6</c:v>
                  </c:pt>
                  <c:pt idx="166">
                    <c:v>14.1</c:v>
                  </c:pt>
                  <c:pt idx="167">
                    <c:v>26.1</c:v>
                  </c:pt>
                  <c:pt idx="168">
                    <c:v>13.1</c:v>
                  </c:pt>
                  <c:pt idx="169">
                    <c:v>10.9</c:v>
                  </c:pt>
                  <c:pt idx="170">
                    <c:v>21.1</c:v>
                  </c:pt>
                  <c:pt idx="171">
                    <c:v>16.2</c:v>
                  </c:pt>
                  <c:pt idx="172">
                    <c:v>16.7</c:v>
                  </c:pt>
                  <c:pt idx="173">
                    <c:v>11.1</c:v>
                  </c:pt>
                  <c:pt idx="174">
                    <c:v>5.1</c:v>
                  </c:pt>
                  <c:pt idx="175">
                    <c:v>11.2</c:v>
                  </c:pt>
                  <c:pt idx="176">
                    <c:v>5.2</c:v>
                  </c:pt>
                  <c:pt idx="177">
                    <c:v>15.9</c:v>
                  </c:pt>
                  <c:pt idx="178">
                    <c:v>27.1</c:v>
                  </c:pt>
                  <c:pt idx="179">
                    <c:v>13.8</c:v>
                  </c:pt>
                  <c:pt idx="180">
                    <c:v>10.7</c:v>
                  </c:pt>
                  <c:pt idx="181">
                    <c:v>15.2</c:v>
                  </c:pt>
                  <c:pt idx="182">
                    <c:v>12.9</c:v>
                  </c:pt>
                  <c:pt idx="183">
                    <c:v>4.5</c:v>
                  </c:pt>
                  <c:pt idx="184">
                    <c:v>25.8</c:v>
                  </c:pt>
                  <c:pt idx="185">
                    <c:v>12.7</c:v>
                  </c:pt>
                  <c:pt idx="186">
                    <c:v>14.3</c:v>
                  </c:pt>
                  <c:pt idx="187">
                    <c:v>2.3</c:v>
                  </c:pt>
                  <c:pt idx="188">
                    <c:v>15.9</c:v>
                  </c:pt>
                  <c:pt idx="189">
                    <c:v>13.1</c:v>
                  </c:pt>
                  <c:pt idx="190">
                    <c:v>10.8</c:v>
                  </c:pt>
                  <c:pt idx="191">
                    <c:v>24.5</c:v>
                  </c:pt>
                  <c:pt idx="192">
                    <c:v>12.2</c:v>
                  </c:pt>
                  <c:pt idx="193">
                    <c:v>12.0</c:v>
                  </c:pt>
                  <c:pt idx="194">
                    <c:v>18.1</c:v>
                  </c:pt>
                  <c:pt idx="195">
                    <c:v>4.0</c:v>
                  </c:pt>
                  <c:pt idx="196">
                    <c:v>5.0</c:v>
                  </c:pt>
                  <c:pt idx="197">
                    <c:v>3.9</c:v>
                  </c:pt>
                  <c:pt idx="198">
                    <c:v>10.8</c:v>
                  </c:pt>
                  <c:pt idx="199">
                    <c:v>9.8</c:v>
                  </c:pt>
                  <c:pt idx="200">
                    <c:v>9.3</c:v>
                  </c:pt>
                  <c:pt idx="201">
                    <c:v>12.7</c:v>
                  </c:pt>
                  <c:pt idx="202">
                    <c:v>9.1</c:v>
                  </c:pt>
                  <c:pt idx="203">
                    <c:v>27.3</c:v>
                  </c:pt>
                  <c:pt idx="204">
                    <c:v>13.5</c:v>
                  </c:pt>
                  <c:pt idx="205">
                    <c:v>15.2</c:v>
                  </c:pt>
                  <c:pt idx="206">
                    <c:v>18.1</c:v>
                  </c:pt>
                  <c:pt idx="207">
                    <c:v>1.6</c:v>
                  </c:pt>
                  <c:pt idx="208">
                    <c:v>23.4</c:v>
                  </c:pt>
                  <c:pt idx="209">
                    <c:v>3.8</c:v>
                  </c:pt>
                  <c:pt idx="210">
                    <c:v>1.7</c:v>
                  </c:pt>
                  <c:pt idx="211">
                    <c:v>15.5</c:v>
                  </c:pt>
                  <c:pt idx="212">
                    <c:v>14.9</c:v>
                  </c:pt>
                  <c:pt idx="213">
                    <c:v>9.9</c:v>
                  </c:pt>
                  <c:pt idx="214">
                    <c:v>9.7</c:v>
                  </c:pt>
                  <c:pt idx="215">
                    <c:v>20.3</c:v>
                  </c:pt>
                  <c:pt idx="216">
                    <c:v>1.8</c:v>
                  </c:pt>
                  <c:pt idx="217">
                    <c:v>6.7</c:v>
                  </c:pt>
                  <c:pt idx="218">
                    <c:v>19.6</c:v>
                  </c:pt>
                  <c:pt idx="219">
                    <c:v>24.9</c:v>
                  </c:pt>
                  <c:pt idx="220">
                    <c:v>15.9</c:v>
                  </c:pt>
                  <c:pt idx="221">
                    <c:v>21.8</c:v>
                  </c:pt>
                  <c:pt idx="222">
                    <c:v>7.8</c:v>
                  </c:pt>
                  <c:pt idx="223">
                    <c:v>6.2</c:v>
                  </c:pt>
                  <c:pt idx="224">
                    <c:v>2.1</c:v>
                  </c:pt>
                  <c:pt idx="225">
                    <c:v>10.0</c:v>
                  </c:pt>
                  <c:pt idx="226">
                    <c:v>9.6</c:v>
                  </c:pt>
                  <c:pt idx="227">
                    <c:v>18.5</c:v>
                  </c:pt>
                  <c:pt idx="228">
                    <c:v>10.8</c:v>
                  </c:pt>
                  <c:pt idx="229">
                    <c:v>23.5</c:v>
                  </c:pt>
                  <c:pt idx="230">
                    <c:v>5.8</c:v>
                  </c:pt>
                  <c:pt idx="231">
                    <c:v>4.2</c:v>
                  </c:pt>
                  <c:pt idx="232">
                    <c:v>2.9</c:v>
                  </c:pt>
                  <c:pt idx="233">
                    <c:v>23.9</c:v>
                  </c:pt>
                  <c:pt idx="234">
                    <c:v>8.5</c:v>
                  </c:pt>
                  <c:pt idx="235">
                    <c:v>3.1</c:v>
                  </c:pt>
                  <c:pt idx="236">
                    <c:v>25.4</c:v>
                  </c:pt>
                  <c:pt idx="237">
                    <c:v>27.7</c:v>
                  </c:pt>
                  <c:pt idx="238">
                    <c:v>25.8</c:v>
                  </c:pt>
                  <c:pt idx="239">
                    <c:v>24.8</c:v>
                  </c:pt>
                  <c:pt idx="240">
                    <c:v>2.8</c:v>
                  </c:pt>
                  <c:pt idx="241">
                    <c:v>27.3</c:v>
                  </c:pt>
                  <c:pt idx="242">
                    <c:v>3.2</c:v>
                  </c:pt>
                  <c:pt idx="243">
                    <c:v>25.8</c:v>
                  </c:pt>
                  <c:pt idx="244">
                    <c:v>10.8</c:v>
                  </c:pt>
                  <c:pt idx="245">
                    <c:v>19.5</c:v>
                  </c:pt>
                  <c:pt idx="246">
                    <c:v>12.7</c:v>
                  </c:pt>
                  <c:pt idx="247">
                    <c:v>16.4</c:v>
                  </c:pt>
                  <c:pt idx="248">
                    <c:v>22.8</c:v>
                  </c:pt>
                  <c:pt idx="249">
                    <c:v>17.0</c:v>
                  </c:pt>
                  <c:pt idx="250">
                    <c:v>9.3</c:v>
                  </c:pt>
                  <c:pt idx="251">
                    <c:v>12.6</c:v>
                  </c:pt>
                  <c:pt idx="252">
                    <c:v>15.5</c:v>
                  </c:pt>
                  <c:pt idx="253">
                    <c:v>10.3</c:v>
                  </c:pt>
                  <c:pt idx="254">
                    <c:v>12.9</c:v>
                  </c:pt>
                  <c:pt idx="255">
                    <c:v>18.1</c:v>
                  </c:pt>
                  <c:pt idx="256">
                    <c:v>25.0</c:v>
                  </c:pt>
                  <c:pt idx="257">
                    <c:v>17.1</c:v>
                  </c:pt>
                  <c:pt idx="258">
                    <c:v>19.8</c:v>
                  </c:pt>
                  <c:pt idx="259">
                    <c:v>8.7</c:v>
                  </c:pt>
                  <c:pt idx="260">
                    <c:v>11.0</c:v>
                  </c:pt>
                  <c:pt idx="261">
                    <c:v>19.2</c:v>
                  </c:pt>
                  <c:pt idx="262">
                    <c:v>11.0</c:v>
                  </c:pt>
                  <c:pt idx="263">
                    <c:v>8.6</c:v>
                  </c:pt>
                  <c:pt idx="264">
                    <c:v>19.9</c:v>
                  </c:pt>
                  <c:pt idx="265">
                    <c:v>24.4</c:v>
                  </c:pt>
                  <c:pt idx="266">
                    <c:v>27.4</c:v>
                  </c:pt>
                  <c:pt idx="267">
                    <c:v>25.1</c:v>
                  </c:pt>
                  <c:pt idx="268">
                    <c:v>16.1</c:v>
                  </c:pt>
                  <c:pt idx="269">
                    <c:v>4.2</c:v>
                  </c:pt>
                  <c:pt idx="270">
                    <c:v>23.9</c:v>
                  </c:pt>
                  <c:pt idx="271">
                    <c:v>16.0</c:v>
                  </c:pt>
                  <c:pt idx="272">
                    <c:v>13.6</c:v>
                  </c:pt>
                  <c:pt idx="273">
                    <c:v>27.0</c:v>
                  </c:pt>
                  <c:pt idx="274">
                    <c:v>14.9</c:v>
                  </c:pt>
                  <c:pt idx="275">
                    <c:v>9.4</c:v>
                  </c:pt>
                  <c:pt idx="276">
                    <c:v>14.9</c:v>
                  </c:pt>
                  <c:pt idx="277">
                    <c:v>4.3</c:v>
                  </c:pt>
                  <c:pt idx="278">
                    <c:v>11.0</c:v>
                  </c:pt>
                  <c:pt idx="279">
                    <c:v>26.1</c:v>
                  </c:pt>
                  <c:pt idx="280">
                    <c:v>9.3</c:v>
                  </c:pt>
                  <c:pt idx="281">
                    <c:v>23.9</c:v>
                  </c:pt>
                  <c:pt idx="282">
                    <c:v>22.3</c:v>
                  </c:pt>
                  <c:pt idx="283">
                    <c:v>19.1</c:v>
                  </c:pt>
                  <c:pt idx="284">
                    <c:v>26.9</c:v>
                  </c:pt>
                  <c:pt idx="285">
                    <c:v>13.3</c:v>
                  </c:pt>
                  <c:pt idx="286">
                    <c:v>23.6</c:v>
                  </c:pt>
                  <c:pt idx="287">
                    <c:v>6.2</c:v>
                  </c:pt>
                  <c:pt idx="288">
                    <c:v>3.2</c:v>
                  </c:pt>
                  <c:pt idx="289">
                    <c:v>23.3</c:v>
                  </c:pt>
                  <c:pt idx="290">
                    <c:v>4.8</c:v>
                  </c:pt>
                  <c:pt idx="291">
                    <c:v>6.4</c:v>
                  </c:pt>
                  <c:pt idx="292">
                    <c:v>14.4</c:v>
                  </c:pt>
                  <c:pt idx="293">
                    <c:v>19.9</c:v>
                  </c:pt>
                  <c:pt idx="294">
                    <c:v>13.3</c:v>
                  </c:pt>
                  <c:pt idx="295">
                    <c:v>25.1</c:v>
                  </c:pt>
                  <c:pt idx="296">
                    <c:v>7.4</c:v>
                  </c:pt>
                  <c:pt idx="297">
                    <c:v>13.3</c:v>
                  </c:pt>
                  <c:pt idx="298">
                    <c:v>11.8</c:v>
                  </c:pt>
                  <c:pt idx="299">
                    <c:v>11.5</c:v>
                  </c:pt>
                </c:lvl>
                <c:lvl>
                  <c:pt idx="0">
                    <c:v>No</c:v>
                  </c:pt>
                  <c:pt idx="1">
                    <c:v>No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1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No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No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No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No</c:v>
                  </c:pt>
                  <c:pt idx="36">
                    <c:v>No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No</c:v>
                  </c:pt>
                  <c:pt idx="43">
                    <c:v>No</c:v>
                  </c:pt>
                  <c:pt idx="44">
                    <c:v>No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Yes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No</c:v>
                  </c:pt>
                  <c:pt idx="67">
                    <c:v>No</c:v>
                  </c:pt>
                  <c:pt idx="68">
                    <c:v>No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Yes</c:v>
                  </c:pt>
                  <c:pt idx="79">
                    <c:v>No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No</c:v>
                  </c:pt>
                  <c:pt idx="84">
                    <c:v>No</c:v>
                  </c:pt>
                  <c:pt idx="85">
                    <c:v>Yes</c:v>
                  </c:pt>
                  <c:pt idx="86">
                    <c:v>Yes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No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No</c:v>
                  </c:pt>
                  <c:pt idx="96">
                    <c:v>No</c:v>
                  </c:pt>
                  <c:pt idx="97">
                    <c:v>No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No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Yes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No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Yes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No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Yes</c:v>
                  </c:pt>
                  <c:pt idx="149">
                    <c:v>No</c:v>
                  </c:pt>
                  <c:pt idx="150">
                    <c:v>Yes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Yes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No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No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No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No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No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</c:lvl>
                <c:lvl>
                  <c:pt idx="0">
                    <c:v>No</c:v>
                  </c:pt>
                  <c:pt idx="1">
                    <c:v>No</c:v>
                  </c:pt>
                  <c:pt idx="2">
                    <c:v>No</c:v>
                  </c:pt>
                  <c:pt idx="3">
                    <c:v>No</c:v>
                  </c:pt>
                  <c:pt idx="4">
                    <c:v>No</c:v>
                  </c:pt>
                  <c:pt idx="5">
                    <c:v>No</c:v>
                  </c:pt>
                  <c:pt idx="6">
                    <c:v>No</c:v>
                  </c:pt>
                  <c:pt idx="7">
                    <c:v>No</c:v>
                  </c:pt>
                  <c:pt idx="8">
                    <c:v>No</c:v>
                  </c:pt>
                  <c:pt idx="9">
                    <c:v>No</c:v>
                  </c:pt>
                  <c:pt idx="10">
                    <c:v>No</c:v>
                  </c:pt>
                  <c:pt idx="11">
                    <c:v>No</c:v>
                  </c:pt>
                  <c:pt idx="12">
                    <c:v>No</c:v>
                  </c:pt>
                  <c:pt idx="13">
                    <c:v>No</c:v>
                  </c:pt>
                  <c:pt idx="14">
                    <c:v>No</c:v>
                  </c:pt>
                  <c:pt idx="15">
                    <c:v>No</c:v>
                  </c:pt>
                  <c:pt idx="16">
                    <c:v>No</c:v>
                  </c:pt>
                  <c:pt idx="17">
                    <c:v>No</c:v>
                  </c:pt>
                  <c:pt idx="18">
                    <c:v>Yes</c:v>
                  </c:pt>
                  <c:pt idx="19">
                    <c:v>No</c:v>
                  </c:pt>
                  <c:pt idx="20">
                    <c:v>No</c:v>
                  </c:pt>
                  <c:pt idx="21">
                    <c:v>No</c:v>
                  </c:pt>
                  <c:pt idx="22">
                    <c:v>No</c:v>
                  </c:pt>
                  <c:pt idx="23">
                    <c:v>No</c:v>
                  </c:pt>
                  <c:pt idx="24">
                    <c:v>No</c:v>
                  </c:pt>
                  <c:pt idx="25">
                    <c:v>Yes</c:v>
                  </c:pt>
                  <c:pt idx="26">
                    <c:v>No</c:v>
                  </c:pt>
                  <c:pt idx="27">
                    <c:v>No</c:v>
                  </c:pt>
                  <c:pt idx="28">
                    <c:v>No</c:v>
                  </c:pt>
                  <c:pt idx="29">
                    <c:v>No</c:v>
                  </c:pt>
                  <c:pt idx="30">
                    <c:v>No</c:v>
                  </c:pt>
                  <c:pt idx="31">
                    <c:v>No</c:v>
                  </c:pt>
                  <c:pt idx="32">
                    <c:v>No</c:v>
                  </c:pt>
                  <c:pt idx="33">
                    <c:v>No</c:v>
                  </c:pt>
                  <c:pt idx="34">
                    <c:v>No</c:v>
                  </c:pt>
                  <c:pt idx="35">
                    <c:v>No</c:v>
                  </c:pt>
                  <c:pt idx="36">
                    <c:v>No</c:v>
                  </c:pt>
                  <c:pt idx="37">
                    <c:v>No</c:v>
                  </c:pt>
                  <c:pt idx="38">
                    <c:v>No</c:v>
                  </c:pt>
                  <c:pt idx="39">
                    <c:v>No</c:v>
                  </c:pt>
                  <c:pt idx="40">
                    <c:v>No</c:v>
                  </c:pt>
                  <c:pt idx="41">
                    <c:v>No</c:v>
                  </c:pt>
                  <c:pt idx="42">
                    <c:v>No</c:v>
                  </c:pt>
                  <c:pt idx="43">
                    <c:v>No</c:v>
                  </c:pt>
                  <c:pt idx="44">
                    <c:v>No</c:v>
                  </c:pt>
                  <c:pt idx="45">
                    <c:v>No</c:v>
                  </c:pt>
                  <c:pt idx="46">
                    <c:v>No</c:v>
                  </c:pt>
                  <c:pt idx="47">
                    <c:v>No</c:v>
                  </c:pt>
                  <c:pt idx="48">
                    <c:v>No</c:v>
                  </c:pt>
                  <c:pt idx="49">
                    <c:v>No</c:v>
                  </c:pt>
                  <c:pt idx="50">
                    <c:v>No</c:v>
                  </c:pt>
                  <c:pt idx="51">
                    <c:v>No</c:v>
                  </c:pt>
                  <c:pt idx="52">
                    <c:v>No</c:v>
                  </c:pt>
                  <c:pt idx="53">
                    <c:v>No</c:v>
                  </c:pt>
                  <c:pt idx="54">
                    <c:v>No</c:v>
                  </c:pt>
                  <c:pt idx="55">
                    <c:v>No</c:v>
                  </c:pt>
                  <c:pt idx="56">
                    <c:v>No</c:v>
                  </c:pt>
                  <c:pt idx="57">
                    <c:v>No</c:v>
                  </c:pt>
                  <c:pt idx="58">
                    <c:v>No</c:v>
                  </c:pt>
                  <c:pt idx="59">
                    <c:v>No</c:v>
                  </c:pt>
                  <c:pt idx="60">
                    <c:v>No</c:v>
                  </c:pt>
                  <c:pt idx="61">
                    <c:v>No</c:v>
                  </c:pt>
                  <c:pt idx="62">
                    <c:v>No</c:v>
                  </c:pt>
                  <c:pt idx="63">
                    <c:v>No</c:v>
                  </c:pt>
                  <c:pt idx="64">
                    <c:v>No</c:v>
                  </c:pt>
                  <c:pt idx="65">
                    <c:v>No</c:v>
                  </c:pt>
                  <c:pt idx="66">
                    <c:v>No</c:v>
                  </c:pt>
                  <c:pt idx="67">
                    <c:v>No</c:v>
                  </c:pt>
                  <c:pt idx="68">
                    <c:v>No</c:v>
                  </c:pt>
                  <c:pt idx="69">
                    <c:v>No</c:v>
                  </c:pt>
                  <c:pt idx="70">
                    <c:v>No</c:v>
                  </c:pt>
                  <c:pt idx="71">
                    <c:v>No</c:v>
                  </c:pt>
                  <c:pt idx="72">
                    <c:v>No</c:v>
                  </c:pt>
                  <c:pt idx="73">
                    <c:v>No</c:v>
                  </c:pt>
                  <c:pt idx="74">
                    <c:v>No</c:v>
                  </c:pt>
                  <c:pt idx="75">
                    <c:v>No</c:v>
                  </c:pt>
                  <c:pt idx="76">
                    <c:v>No</c:v>
                  </c:pt>
                  <c:pt idx="77">
                    <c:v>No</c:v>
                  </c:pt>
                  <c:pt idx="78">
                    <c:v>No</c:v>
                  </c:pt>
                  <c:pt idx="79">
                    <c:v>No</c:v>
                  </c:pt>
                  <c:pt idx="80">
                    <c:v>No</c:v>
                  </c:pt>
                  <c:pt idx="81">
                    <c:v>No</c:v>
                  </c:pt>
                  <c:pt idx="82">
                    <c:v>No</c:v>
                  </c:pt>
                  <c:pt idx="83">
                    <c:v>No</c:v>
                  </c:pt>
                  <c:pt idx="84">
                    <c:v>No</c:v>
                  </c:pt>
                  <c:pt idx="85">
                    <c:v>No</c:v>
                  </c:pt>
                  <c:pt idx="86">
                    <c:v>No</c:v>
                  </c:pt>
                  <c:pt idx="87">
                    <c:v>No</c:v>
                  </c:pt>
                  <c:pt idx="88">
                    <c:v>No</c:v>
                  </c:pt>
                  <c:pt idx="89">
                    <c:v>No</c:v>
                  </c:pt>
                  <c:pt idx="90">
                    <c:v>No</c:v>
                  </c:pt>
                  <c:pt idx="91">
                    <c:v>No</c:v>
                  </c:pt>
                  <c:pt idx="92">
                    <c:v>No</c:v>
                  </c:pt>
                  <c:pt idx="93">
                    <c:v>No</c:v>
                  </c:pt>
                  <c:pt idx="94">
                    <c:v>No</c:v>
                  </c:pt>
                  <c:pt idx="95">
                    <c:v>Yes</c:v>
                  </c:pt>
                  <c:pt idx="96">
                    <c:v>No</c:v>
                  </c:pt>
                  <c:pt idx="97">
                    <c:v>No</c:v>
                  </c:pt>
                  <c:pt idx="98">
                    <c:v>No</c:v>
                  </c:pt>
                  <c:pt idx="99">
                    <c:v>No</c:v>
                  </c:pt>
                  <c:pt idx="100">
                    <c:v>No</c:v>
                  </c:pt>
                  <c:pt idx="101">
                    <c:v>No</c:v>
                  </c:pt>
                  <c:pt idx="102">
                    <c:v>No</c:v>
                  </c:pt>
                  <c:pt idx="103">
                    <c:v>No</c:v>
                  </c:pt>
                  <c:pt idx="104">
                    <c:v>No</c:v>
                  </c:pt>
                  <c:pt idx="105">
                    <c:v>No</c:v>
                  </c:pt>
                  <c:pt idx="106">
                    <c:v>No</c:v>
                  </c:pt>
                  <c:pt idx="107">
                    <c:v>No</c:v>
                  </c:pt>
                  <c:pt idx="108">
                    <c:v>No</c:v>
                  </c:pt>
                  <c:pt idx="109">
                    <c:v>No</c:v>
                  </c:pt>
                  <c:pt idx="110">
                    <c:v>No</c:v>
                  </c:pt>
                  <c:pt idx="111">
                    <c:v>No</c:v>
                  </c:pt>
                  <c:pt idx="112">
                    <c:v>No</c:v>
                  </c:pt>
                  <c:pt idx="113">
                    <c:v>No</c:v>
                  </c:pt>
                  <c:pt idx="114">
                    <c:v>No</c:v>
                  </c:pt>
                  <c:pt idx="115">
                    <c:v>Yes</c:v>
                  </c:pt>
                  <c:pt idx="116">
                    <c:v>No</c:v>
                  </c:pt>
                  <c:pt idx="117">
                    <c:v>No</c:v>
                  </c:pt>
                  <c:pt idx="118">
                    <c:v>No</c:v>
                  </c:pt>
                  <c:pt idx="119">
                    <c:v>No</c:v>
                  </c:pt>
                  <c:pt idx="120">
                    <c:v>No</c:v>
                  </c:pt>
                  <c:pt idx="121">
                    <c:v>No</c:v>
                  </c:pt>
                  <c:pt idx="122">
                    <c:v>No</c:v>
                  </c:pt>
                  <c:pt idx="123">
                    <c:v>No</c:v>
                  </c:pt>
                  <c:pt idx="124">
                    <c:v>No</c:v>
                  </c:pt>
                  <c:pt idx="125">
                    <c:v>No</c:v>
                  </c:pt>
                  <c:pt idx="126">
                    <c:v>No</c:v>
                  </c:pt>
                  <c:pt idx="127">
                    <c:v>No</c:v>
                  </c:pt>
                  <c:pt idx="128">
                    <c:v>No</c:v>
                  </c:pt>
                  <c:pt idx="129">
                    <c:v>No</c:v>
                  </c:pt>
                  <c:pt idx="130">
                    <c:v>No</c:v>
                  </c:pt>
                  <c:pt idx="131">
                    <c:v>No</c:v>
                  </c:pt>
                  <c:pt idx="132">
                    <c:v>No</c:v>
                  </c:pt>
                  <c:pt idx="133">
                    <c:v>No</c:v>
                  </c:pt>
                  <c:pt idx="134">
                    <c:v>No</c:v>
                  </c:pt>
                  <c:pt idx="135">
                    <c:v>No</c:v>
                  </c:pt>
                  <c:pt idx="136">
                    <c:v>No</c:v>
                  </c:pt>
                  <c:pt idx="137">
                    <c:v>No</c:v>
                  </c:pt>
                  <c:pt idx="138">
                    <c:v>No</c:v>
                  </c:pt>
                  <c:pt idx="139">
                    <c:v>No</c:v>
                  </c:pt>
                  <c:pt idx="140">
                    <c:v>No</c:v>
                  </c:pt>
                  <c:pt idx="141">
                    <c:v>No</c:v>
                  </c:pt>
                  <c:pt idx="142">
                    <c:v>No</c:v>
                  </c:pt>
                  <c:pt idx="143">
                    <c:v>No</c:v>
                  </c:pt>
                  <c:pt idx="144">
                    <c:v>No</c:v>
                  </c:pt>
                  <c:pt idx="145">
                    <c:v>No</c:v>
                  </c:pt>
                  <c:pt idx="146">
                    <c:v>No</c:v>
                  </c:pt>
                  <c:pt idx="147">
                    <c:v>No</c:v>
                  </c:pt>
                  <c:pt idx="148">
                    <c:v>No</c:v>
                  </c:pt>
                  <c:pt idx="149">
                    <c:v>No</c:v>
                  </c:pt>
                  <c:pt idx="150">
                    <c:v>No</c:v>
                  </c:pt>
                  <c:pt idx="151">
                    <c:v>No</c:v>
                  </c:pt>
                  <c:pt idx="152">
                    <c:v>No</c:v>
                  </c:pt>
                  <c:pt idx="153">
                    <c:v>No</c:v>
                  </c:pt>
                  <c:pt idx="154">
                    <c:v>No</c:v>
                  </c:pt>
                  <c:pt idx="155">
                    <c:v>No</c:v>
                  </c:pt>
                  <c:pt idx="156">
                    <c:v>No</c:v>
                  </c:pt>
                  <c:pt idx="157">
                    <c:v>No</c:v>
                  </c:pt>
                  <c:pt idx="158">
                    <c:v>No</c:v>
                  </c:pt>
                  <c:pt idx="159">
                    <c:v>No</c:v>
                  </c:pt>
                  <c:pt idx="160">
                    <c:v>No</c:v>
                  </c:pt>
                  <c:pt idx="161">
                    <c:v>No</c:v>
                  </c:pt>
                  <c:pt idx="162">
                    <c:v>No</c:v>
                  </c:pt>
                  <c:pt idx="163">
                    <c:v>No</c:v>
                  </c:pt>
                  <c:pt idx="164">
                    <c:v>No</c:v>
                  </c:pt>
                  <c:pt idx="165">
                    <c:v>No</c:v>
                  </c:pt>
                  <c:pt idx="166">
                    <c:v>No</c:v>
                  </c:pt>
                  <c:pt idx="167">
                    <c:v>No</c:v>
                  </c:pt>
                  <c:pt idx="168">
                    <c:v>No</c:v>
                  </c:pt>
                  <c:pt idx="169">
                    <c:v>No</c:v>
                  </c:pt>
                  <c:pt idx="170">
                    <c:v>No</c:v>
                  </c:pt>
                  <c:pt idx="171">
                    <c:v>No</c:v>
                  </c:pt>
                  <c:pt idx="172">
                    <c:v>No</c:v>
                  </c:pt>
                  <c:pt idx="173">
                    <c:v>No</c:v>
                  </c:pt>
                  <c:pt idx="174">
                    <c:v>No</c:v>
                  </c:pt>
                  <c:pt idx="175">
                    <c:v>No</c:v>
                  </c:pt>
                  <c:pt idx="176">
                    <c:v>No</c:v>
                  </c:pt>
                  <c:pt idx="177">
                    <c:v>No</c:v>
                  </c:pt>
                  <c:pt idx="178">
                    <c:v>No</c:v>
                  </c:pt>
                  <c:pt idx="179">
                    <c:v>No</c:v>
                  </c:pt>
                  <c:pt idx="180">
                    <c:v>No</c:v>
                  </c:pt>
                  <c:pt idx="181">
                    <c:v>No</c:v>
                  </c:pt>
                  <c:pt idx="182">
                    <c:v>No</c:v>
                  </c:pt>
                  <c:pt idx="183">
                    <c:v>No</c:v>
                  </c:pt>
                  <c:pt idx="184">
                    <c:v>No</c:v>
                  </c:pt>
                  <c:pt idx="185">
                    <c:v>No</c:v>
                  </c:pt>
                  <c:pt idx="186">
                    <c:v>No</c:v>
                  </c:pt>
                  <c:pt idx="187">
                    <c:v>No</c:v>
                  </c:pt>
                  <c:pt idx="188">
                    <c:v>No</c:v>
                  </c:pt>
                  <c:pt idx="189">
                    <c:v>No</c:v>
                  </c:pt>
                  <c:pt idx="190">
                    <c:v>No</c:v>
                  </c:pt>
                  <c:pt idx="191">
                    <c:v>No</c:v>
                  </c:pt>
                  <c:pt idx="192">
                    <c:v>No</c:v>
                  </c:pt>
                  <c:pt idx="193">
                    <c:v>No</c:v>
                  </c:pt>
                  <c:pt idx="194">
                    <c:v>No</c:v>
                  </c:pt>
                  <c:pt idx="195">
                    <c:v>No</c:v>
                  </c:pt>
                  <c:pt idx="196">
                    <c:v>No</c:v>
                  </c:pt>
                  <c:pt idx="197">
                    <c:v>No</c:v>
                  </c:pt>
                  <c:pt idx="198">
                    <c:v>No</c:v>
                  </c:pt>
                  <c:pt idx="199">
                    <c:v>No</c:v>
                  </c:pt>
                  <c:pt idx="200">
                    <c:v>No</c:v>
                  </c:pt>
                  <c:pt idx="201">
                    <c:v>No</c:v>
                  </c:pt>
                  <c:pt idx="202">
                    <c:v>No</c:v>
                  </c:pt>
                  <c:pt idx="203">
                    <c:v>No</c:v>
                  </c:pt>
                  <c:pt idx="204">
                    <c:v>No</c:v>
                  </c:pt>
                  <c:pt idx="205">
                    <c:v>No</c:v>
                  </c:pt>
                  <c:pt idx="206">
                    <c:v>No</c:v>
                  </c:pt>
                  <c:pt idx="207">
                    <c:v>No</c:v>
                  </c:pt>
                  <c:pt idx="208">
                    <c:v>No</c:v>
                  </c:pt>
                  <c:pt idx="209">
                    <c:v>No</c:v>
                  </c:pt>
                  <c:pt idx="210">
                    <c:v>No</c:v>
                  </c:pt>
                  <c:pt idx="211">
                    <c:v>No</c:v>
                  </c:pt>
                  <c:pt idx="212">
                    <c:v>No</c:v>
                  </c:pt>
                  <c:pt idx="213">
                    <c:v>No</c:v>
                  </c:pt>
                  <c:pt idx="214">
                    <c:v>No</c:v>
                  </c:pt>
                  <c:pt idx="215">
                    <c:v>No</c:v>
                  </c:pt>
                  <c:pt idx="216">
                    <c:v>No</c:v>
                  </c:pt>
                  <c:pt idx="217">
                    <c:v>No</c:v>
                  </c:pt>
                  <c:pt idx="218">
                    <c:v>No</c:v>
                  </c:pt>
                  <c:pt idx="219">
                    <c:v>No</c:v>
                  </c:pt>
                  <c:pt idx="220">
                    <c:v>No</c:v>
                  </c:pt>
                  <c:pt idx="221">
                    <c:v>No</c:v>
                  </c:pt>
                  <c:pt idx="222">
                    <c:v>Yes</c:v>
                  </c:pt>
                  <c:pt idx="223">
                    <c:v>No</c:v>
                  </c:pt>
                  <c:pt idx="224">
                    <c:v>No</c:v>
                  </c:pt>
                  <c:pt idx="225">
                    <c:v>No</c:v>
                  </c:pt>
                  <c:pt idx="226">
                    <c:v>Yes</c:v>
                  </c:pt>
                  <c:pt idx="227">
                    <c:v>No</c:v>
                  </c:pt>
                  <c:pt idx="228">
                    <c:v>No</c:v>
                  </c:pt>
                  <c:pt idx="229">
                    <c:v>No</c:v>
                  </c:pt>
                  <c:pt idx="230">
                    <c:v>No</c:v>
                  </c:pt>
                  <c:pt idx="231">
                    <c:v>No</c:v>
                  </c:pt>
                  <c:pt idx="232">
                    <c:v>No</c:v>
                  </c:pt>
                  <c:pt idx="233">
                    <c:v>No</c:v>
                  </c:pt>
                  <c:pt idx="234">
                    <c:v>No</c:v>
                  </c:pt>
                  <c:pt idx="235">
                    <c:v>No</c:v>
                  </c:pt>
                  <c:pt idx="236">
                    <c:v>No</c:v>
                  </c:pt>
                  <c:pt idx="237">
                    <c:v>No</c:v>
                  </c:pt>
                  <c:pt idx="238">
                    <c:v>No</c:v>
                  </c:pt>
                  <c:pt idx="239">
                    <c:v>No</c:v>
                  </c:pt>
                  <c:pt idx="240">
                    <c:v>Yes</c:v>
                  </c:pt>
                  <c:pt idx="241">
                    <c:v>No</c:v>
                  </c:pt>
                  <c:pt idx="242">
                    <c:v>No</c:v>
                  </c:pt>
                  <c:pt idx="243">
                    <c:v>No</c:v>
                  </c:pt>
                  <c:pt idx="244">
                    <c:v>No</c:v>
                  </c:pt>
                  <c:pt idx="245">
                    <c:v>No</c:v>
                  </c:pt>
                  <c:pt idx="246">
                    <c:v>No</c:v>
                  </c:pt>
                  <c:pt idx="247">
                    <c:v>No</c:v>
                  </c:pt>
                  <c:pt idx="248">
                    <c:v>No</c:v>
                  </c:pt>
                  <c:pt idx="249">
                    <c:v>No</c:v>
                  </c:pt>
                  <c:pt idx="250">
                    <c:v>No</c:v>
                  </c:pt>
                  <c:pt idx="251">
                    <c:v>No</c:v>
                  </c:pt>
                  <c:pt idx="252">
                    <c:v>No</c:v>
                  </c:pt>
                  <c:pt idx="253">
                    <c:v>Yes</c:v>
                  </c:pt>
                  <c:pt idx="254">
                    <c:v>No</c:v>
                  </c:pt>
                  <c:pt idx="255">
                    <c:v>No</c:v>
                  </c:pt>
                  <c:pt idx="256">
                    <c:v>No</c:v>
                  </c:pt>
                  <c:pt idx="257">
                    <c:v>No</c:v>
                  </c:pt>
                  <c:pt idx="258">
                    <c:v>No</c:v>
                  </c:pt>
                  <c:pt idx="259">
                    <c:v>No</c:v>
                  </c:pt>
                  <c:pt idx="260">
                    <c:v>No</c:v>
                  </c:pt>
                  <c:pt idx="261">
                    <c:v>No</c:v>
                  </c:pt>
                  <c:pt idx="262">
                    <c:v>No</c:v>
                  </c:pt>
                  <c:pt idx="263">
                    <c:v>No</c:v>
                  </c:pt>
                  <c:pt idx="264">
                    <c:v>No</c:v>
                  </c:pt>
                  <c:pt idx="265">
                    <c:v>No</c:v>
                  </c:pt>
                  <c:pt idx="266">
                    <c:v>No</c:v>
                  </c:pt>
                  <c:pt idx="267">
                    <c:v>No</c:v>
                  </c:pt>
                  <c:pt idx="268">
                    <c:v>No</c:v>
                  </c:pt>
                  <c:pt idx="269">
                    <c:v>No</c:v>
                  </c:pt>
                  <c:pt idx="270">
                    <c:v>No</c:v>
                  </c:pt>
                  <c:pt idx="271">
                    <c:v>No</c:v>
                  </c:pt>
                  <c:pt idx="272">
                    <c:v>No</c:v>
                  </c:pt>
                  <c:pt idx="273">
                    <c:v>No</c:v>
                  </c:pt>
                  <c:pt idx="274">
                    <c:v>No</c:v>
                  </c:pt>
                  <c:pt idx="275">
                    <c:v>No</c:v>
                  </c:pt>
                  <c:pt idx="276">
                    <c:v>No</c:v>
                  </c:pt>
                  <c:pt idx="277">
                    <c:v>No</c:v>
                  </c:pt>
                  <c:pt idx="278">
                    <c:v>No</c:v>
                  </c:pt>
                  <c:pt idx="279">
                    <c:v>No</c:v>
                  </c:pt>
                  <c:pt idx="280">
                    <c:v>No</c:v>
                  </c:pt>
                  <c:pt idx="281">
                    <c:v>No</c:v>
                  </c:pt>
                  <c:pt idx="282">
                    <c:v>No</c:v>
                  </c:pt>
                  <c:pt idx="283">
                    <c:v>No</c:v>
                  </c:pt>
                  <c:pt idx="284">
                    <c:v>No</c:v>
                  </c:pt>
                  <c:pt idx="285">
                    <c:v>No</c:v>
                  </c:pt>
                  <c:pt idx="286">
                    <c:v>No</c:v>
                  </c:pt>
                  <c:pt idx="287">
                    <c:v>No</c:v>
                  </c:pt>
                  <c:pt idx="288">
                    <c:v>No</c:v>
                  </c:pt>
                  <c:pt idx="289">
                    <c:v>No</c:v>
                  </c:pt>
                  <c:pt idx="290">
                    <c:v>No</c:v>
                  </c:pt>
                  <c:pt idx="291">
                    <c:v>No</c:v>
                  </c:pt>
                  <c:pt idx="292">
                    <c:v>No</c:v>
                  </c:pt>
                  <c:pt idx="293">
                    <c:v>No</c:v>
                  </c:pt>
                  <c:pt idx="294">
                    <c:v>No</c:v>
                  </c:pt>
                  <c:pt idx="295">
                    <c:v>No</c:v>
                  </c:pt>
                  <c:pt idx="296">
                    <c:v>No</c:v>
                  </c:pt>
                  <c:pt idx="297">
                    <c:v>No</c:v>
                  </c:pt>
                  <c:pt idx="298">
                    <c:v>No</c:v>
                  </c:pt>
                  <c:pt idx="299">
                    <c:v>No</c:v>
                  </c:pt>
                </c:lvl>
                <c:lvl>
                  <c:pt idx="0">
                    <c:v>4</c:v>
                  </c:pt>
                  <c:pt idx="1">
                    <c:v>2</c:v>
                  </c:pt>
                  <c:pt idx="2">
                    <c:v>4</c:v>
                  </c:pt>
                  <c:pt idx="3">
                    <c:v>5</c:v>
                  </c:pt>
                  <c:pt idx="4">
                    <c:v>4</c:v>
                  </c:pt>
                  <c:pt idx="5">
                    <c:v>4</c:v>
                  </c:pt>
                  <c:pt idx="6">
                    <c:v>4</c:v>
                  </c:pt>
                  <c:pt idx="7">
                    <c:v>4</c:v>
                  </c:pt>
                  <c:pt idx="8">
                    <c:v>4</c:v>
                  </c:pt>
                  <c:pt idx="9">
                    <c:v>4</c:v>
                  </c:pt>
                  <c:pt idx="10">
                    <c:v>4</c:v>
                  </c:pt>
                  <c:pt idx="11">
                    <c:v>5</c:v>
                  </c:pt>
                  <c:pt idx="12">
                    <c:v>3</c:v>
                  </c:pt>
                  <c:pt idx="13">
                    <c:v>2</c:v>
                  </c:pt>
                  <c:pt idx="14">
                    <c:v>4</c:v>
                  </c:pt>
                  <c:pt idx="15">
                    <c:v>4</c:v>
                  </c:pt>
                  <c:pt idx="16">
                    <c:v>4</c:v>
                  </c:pt>
                  <c:pt idx="17">
                    <c:v>2</c:v>
                  </c:pt>
                  <c:pt idx="18">
                    <c:v>5</c:v>
                  </c:pt>
                  <c:pt idx="19">
                    <c:v>4</c:v>
                  </c:pt>
                  <c:pt idx="20">
                    <c:v>4</c:v>
                  </c:pt>
                  <c:pt idx="21">
                    <c:v>4</c:v>
                  </c:pt>
                  <c:pt idx="22">
                    <c:v>4</c:v>
                  </c:pt>
                  <c:pt idx="23">
                    <c:v>4</c:v>
                  </c:pt>
                  <c:pt idx="24">
                    <c:v>5</c:v>
                  </c:pt>
                  <c:pt idx="25">
                    <c:v>4</c:v>
                  </c:pt>
                  <c:pt idx="26">
                    <c:v>3</c:v>
                  </c:pt>
                  <c:pt idx="27">
                    <c:v>5</c:v>
                  </c:pt>
                  <c:pt idx="28">
                    <c:v>3</c:v>
                  </c:pt>
                  <c:pt idx="29">
                    <c:v>3</c:v>
                  </c:pt>
                  <c:pt idx="30">
                    <c:v>5</c:v>
                  </c:pt>
                  <c:pt idx="31">
                    <c:v>4</c:v>
                  </c:pt>
                  <c:pt idx="32">
                    <c:v>5</c:v>
                  </c:pt>
                  <c:pt idx="33">
                    <c:v>4</c:v>
                  </c:pt>
                  <c:pt idx="34">
                    <c:v>5</c:v>
                  </c:pt>
                  <c:pt idx="35">
                    <c:v>3</c:v>
                  </c:pt>
                  <c:pt idx="36">
                    <c:v>2</c:v>
                  </c:pt>
                  <c:pt idx="37">
                    <c:v>4</c:v>
                  </c:pt>
                  <c:pt idx="38">
                    <c:v>4</c:v>
                  </c:pt>
                  <c:pt idx="39">
                    <c:v>5</c:v>
                  </c:pt>
                  <c:pt idx="40">
                    <c:v>4</c:v>
                  </c:pt>
                  <c:pt idx="41">
                    <c:v>4</c:v>
                  </c:pt>
                  <c:pt idx="42">
                    <c:v>5</c:v>
                  </c:pt>
                  <c:pt idx="43">
                    <c:v>5</c:v>
                  </c:pt>
                  <c:pt idx="44">
                    <c:v>4</c:v>
                  </c:pt>
                  <c:pt idx="45">
                    <c:v>4</c:v>
                  </c:pt>
                  <c:pt idx="46">
                    <c:v>4</c:v>
                  </c:pt>
                  <c:pt idx="47">
                    <c:v>4</c:v>
                  </c:pt>
                  <c:pt idx="48">
                    <c:v>4</c:v>
                  </c:pt>
                  <c:pt idx="49">
                    <c:v>3</c:v>
                  </c:pt>
                  <c:pt idx="50">
                    <c:v>2</c:v>
                  </c:pt>
                  <c:pt idx="51">
                    <c:v>4</c:v>
                  </c:pt>
                  <c:pt idx="52">
                    <c:v>3</c:v>
                  </c:pt>
                  <c:pt idx="53">
                    <c:v>5</c:v>
                  </c:pt>
                  <c:pt idx="54">
                    <c:v>3</c:v>
                  </c:pt>
                  <c:pt idx="55">
                    <c:v>5</c:v>
                  </c:pt>
                  <c:pt idx="56">
                    <c:v>4</c:v>
                  </c:pt>
                  <c:pt idx="57">
                    <c:v>5</c:v>
                  </c:pt>
                  <c:pt idx="58">
                    <c:v>4</c:v>
                  </c:pt>
                  <c:pt idx="59">
                    <c:v>4</c:v>
                  </c:pt>
                  <c:pt idx="60">
                    <c:v>4</c:v>
                  </c:pt>
                  <c:pt idx="61">
                    <c:v>5</c:v>
                  </c:pt>
                  <c:pt idx="62">
                    <c:v>5</c:v>
                  </c:pt>
                  <c:pt idx="63">
                    <c:v>4</c:v>
                  </c:pt>
                  <c:pt idx="64">
                    <c:v>4</c:v>
                  </c:pt>
                  <c:pt idx="65">
                    <c:v>5</c:v>
                  </c:pt>
                  <c:pt idx="66">
                    <c:v>5</c:v>
                  </c:pt>
                  <c:pt idx="67">
                    <c:v>5</c:v>
                  </c:pt>
                  <c:pt idx="68">
                    <c:v>5</c:v>
                  </c:pt>
                  <c:pt idx="69">
                    <c:v>5</c:v>
                  </c:pt>
                  <c:pt idx="70">
                    <c:v>4</c:v>
                  </c:pt>
                  <c:pt idx="71">
                    <c:v>5</c:v>
                  </c:pt>
                  <c:pt idx="72">
                    <c:v>4</c:v>
                  </c:pt>
                  <c:pt idx="73">
                    <c:v>5</c:v>
                  </c:pt>
                  <c:pt idx="74">
                    <c:v>4</c:v>
                  </c:pt>
                  <c:pt idx="75">
                    <c:v>4</c:v>
                  </c:pt>
                  <c:pt idx="76">
                    <c:v>4</c:v>
                  </c:pt>
                  <c:pt idx="77">
                    <c:v>5</c:v>
                  </c:pt>
                  <c:pt idx="78">
                    <c:v>4</c:v>
                  </c:pt>
                  <c:pt idx="79">
                    <c:v>5</c:v>
                  </c:pt>
                  <c:pt idx="80">
                    <c:v>4</c:v>
                  </c:pt>
                  <c:pt idx="81">
                    <c:v>4</c:v>
                  </c:pt>
                  <c:pt idx="82">
                    <c:v>2</c:v>
                  </c:pt>
                  <c:pt idx="83">
                    <c:v>5</c:v>
                  </c:pt>
                  <c:pt idx="84">
                    <c:v>3</c:v>
                  </c:pt>
                  <c:pt idx="85">
                    <c:v>4</c:v>
                  </c:pt>
                  <c:pt idx="86">
                    <c:v>5</c:v>
                  </c:pt>
                  <c:pt idx="87">
                    <c:v>4</c:v>
                  </c:pt>
                  <c:pt idx="88">
                    <c:v>4</c:v>
                  </c:pt>
                  <c:pt idx="89">
                    <c:v>5</c:v>
                  </c:pt>
                  <c:pt idx="90">
                    <c:v>4</c:v>
                  </c:pt>
                  <c:pt idx="91">
                    <c:v>4</c:v>
                  </c:pt>
                  <c:pt idx="92">
                    <c:v>4</c:v>
                  </c:pt>
                  <c:pt idx="93">
                    <c:v>3</c:v>
                  </c:pt>
                  <c:pt idx="94">
                    <c:v>4</c:v>
                  </c:pt>
                  <c:pt idx="95">
                    <c:v>3</c:v>
                  </c:pt>
                  <c:pt idx="96">
                    <c:v>4</c:v>
                  </c:pt>
                  <c:pt idx="97">
                    <c:v>4</c:v>
                  </c:pt>
                  <c:pt idx="98">
                    <c:v>4</c:v>
                  </c:pt>
                  <c:pt idx="99">
                    <c:v>5</c:v>
                  </c:pt>
                  <c:pt idx="100">
                    <c:v>5</c:v>
                  </c:pt>
                  <c:pt idx="101">
                    <c:v>4</c:v>
                  </c:pt>
                  <c:pt idx="102">
                    <c:v>3</c:v>
                  </c:pt>
                  <c:pt idx="103">
                    <c:v>4</c:v>
                  </c:pt>
                  <c:pt idx="104">
                    <c:v>4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4</c:v>
                  </c:pt>
                  <c:pt idx="108">
                    <c:v>5</c:v>
                  </c:pt>
                  <c:pt idx="109">
                    <c:v>5</c:v>
                  </c:pt>
                  <c:pt idx="110">
                    <c:v>5</c:v>
                  </c:pt>
                  <c:pt idx="111">
                    <c:v>4</c:v>
                  </c:pt>
                  <c:pt idx="112">
                    <c:v>5</c:v>
                  </c:pt>
                  <c:pt idx="113">
                    <c:v>4</c:v>
                  </c:pt>
                  <c:pt idx="114">
                    <c:v>4</c:v>
                  </c:pt>
                  <c:pt idx="115">
                    <c:v>2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5</c:v>
                  </c:pt>
                  <c:pt idx="119">
                    <c:v>3</c:v>
                  </c:pt>
                  <c:pt idx="120">
                    <c:v>3</c:v>
                  </c:pt>
                  <c:pt idx="121">
                    <c:v>5</c:v>
                  </c:pt>
                  <c:pt idx="122">
                    <c:v>4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3</c:v>
                  </c:pt>
                  <c:pt idx="126">
                    <c:v>3</c:v>
                  </c:pt>
                  <c:pt idx="127">
                    <c:v>4</c:v>
                  </c:pt>
                  <c:pt idx="128">
                    <c:v>4</c:v>
                  </c:pt>
                  <c:pt idx="129">
                    <c:v>5</c:v>
                  </c:pt>
                  <c:pt idx="130">
                    <c:v>4</c:v>
                  </c:pt>
                  <c:pt idx="131">
                    <c:v>5</c:v>
                  </c:pt>
                  <c:pt idx="132">
                    <c:v>4</c:v>
                  </c:pt>
                  <c:pt idx="133">
                    <c:v>5</c:v>
                  </c:pt>
                  <c:pt idx="134">
                    <c:v>4</c:v>
                  </c:pt>
                  <c:pt idx="135">
                    <c:v>4</c:v>
                  </c:pt>
                  <c:pt idx="136">
                    <c:v>5</c:v>
                  </c:pt>
                  <c:pt idx="137">
                    <c:v>5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5</c:v>
                  </c:pt>
                  <c:pt idx="141">
                    <c:v>4</c:v>
                  </c:pt>
                  <c:pt idx="142">
                    <c:v>5</c:v>
                  </c:pt>
                  <c:pt idx="143">
                    <c:v>5</c:v>
                  </c:pt>
                  <c:pt idx="144">
                    <c:v>4</c:v>
                  </c:pt>
                  <c:pt idx="145">
                    <c:v>5</c:v>
                  </c:pt>
                  <c:pt idx="146">
                    <c:v>4</c:v>
                  </c:pt>
                  <c:pt idx="147">
                    <c:v>5</c:v>
                  </c:pt>
                  <c:pt idx="148">
                    <c:v>5</c:v>
                  </c:pt>
                  <c:pt idx="149">
                    <c:v>4</c:v>
                  </c:pt>
                  <c:pt idx="150">
                    <c:v>5</c:v>
                  </c:pt>
                  <c:pt idx="151">
                    <c:v>4</c:v>
                  </c:pt>
                  <c:pt idx="152">
                    <c:v>5</c:v>
                  </c:pt>
                  <c:pt idx="153">
                    <c:v>4</c:v>
                  </c:pt>
                  <c:pt idx="154">
                    <c:v>4</c:v>
                  </c:pt>
                  <c:pt idx="155">
                    <c:v>5</c:v>
                  </c:pt>
                  <c:pt idx="156">
                    <c:v>5</c:v>
                  </c:pt>
                  <c:pt idx="157">
                    <c:v>4</c:v>
                  </c:pt>
                  <c:pt idx="158">
                    <c:v>3</c:v>
                  </c:pt>
                  <c:pt idx="159">
                    <c:v>4</c:v>
                  </c:pt>
                  <c:pt idx="160">
                    <c:v>5</c:v>
                  </c:pt>
                  <c:pt idx="161">
                    <c:v>4</c:v>
                  </c:pt>
                  <c:pt idx="162">
                    <c:v>4</c:v>
                  </c:pt>
                  <c:pt idx="163">
                    <c:v>3</c:v>
                  </c:pt>
                  <c:pt idx="164">
                    <c:v>4</c:v>
                  </c:pt>
                  <c:pt idx="165">
                    <c:v>5</c:v>
                  </c:pt>
                  <c:pt idx="166">
                    <c:v>4</c:v>
                  </c:pt>
                  <c:pt idx="167">
                    <c:v>3</c:v>
                  </c:pt>
                  <c:pt idx="168">
                    <c:v>4</c:v>
                  </c:pt>
                  <c:pt idx="169">
                    <c:v>4</c:v>
                  </c:pt>
                  <c:pt idx="170">
                    <c:v>4</c:v>
                  </c:pt>
                  <c:pt idx="171">
                    <c:v>4</c:v>
                  </c:pt>
                  <c:pt idx="172">
                    <c:v>2</c:v>
                  </c:pt>
                  <c:pt idx="173">
                    <c:v>5</c:v>
                  </c:pt>
                  <c:pt idx="174">
                    <c:v>5</c:v>
                  </c:pt>
                  <c:pt idx="175">
                    <c:v>5</c:v>
                  </c:pt>
                  <c:pt idx="176">
                    <c:v>5</c:v>
                  </c:pt>
                  <c:pt idx="177">
                    <c:v>5</c:v>
                  </c:pt>
                  <c:pt idx="178">
                    <c:v>4</c:v>
                  </c:pt>
                  <c:pt idx="179">
                    <c:v>3</c:v>
                  </c:pt>
                  <c:pt idx="180">
                    <c:v>2</c:v>
                  </c:pt>
                  <c:pt idx="181">
                    <c:v>5</c:v>
                  </c:pt>
                  <c:pt idx="182">
                    <c:v>3</c:v>
                  </c:pt>
                  <c:pt idx="183">
                    <c:v>5</c:v>
                  </c:pt>
                  <c:pt idx="184">
                    <c:v>4</c:v>
                  </c:pt>
                  <c:pt idx="185">
                    <c:v>4</c:v>
                  </c:pt>
                  <c:pt idx="186">
                    <c:v>5</c:v>
                  </c:pt>
                  <c:pt idx="187">
                    <c:v>4</c:v>
                  </c:pt>
                  <c:pt idx="188">
                    <c:v>5</c:v>
                  </c:pt>
                  <c:pt idx="189">
                    <c:v>4</c:v>
                  </c:pt>
                  <c:pt idx="190">
                    <c:v>3</c:v>
                  </c:pt>
                  <c:pt idx="191">
                    <c:v>3</c:v>
                  </c:pt>
                  <c:pt idx="192">
                    <c:v>4</c:v>
                  </c:pt>
                  <c:pt idx="193">
                    <c:v>5</c:v>
                  </c:pt>
                  <c:pt idx="194">
                    <c:v>4</c:v>
                  </c:pt>
                  <c:pt idx="195">
                    <c:v>4</c:v>
                  </c:pt>
                  <c:pt idx="196">
                    <c:v>4</c:v>
                  </c:pt>
                  <c:pt idx="197">
                    <c:v>4</c:v>
                  </c:pt>
                  <c:pt idx="198">
                    <c:v>5</c:v>
                  </c:pt>
                  <c:pt idx="199">
                    <c:v>3</c:v>
                  </c:pt>
                  <c:pt idx="200">
                    <c:v>4</c:v>
                  </c:pt>
                  <c:pt idx="201">
                    <c:v>5</c:v>
                  </c:pt>
                  <c:pt idx="202">
                    <c:v>4</c:v>
                  </c:pt>
                  <c:pt idx="203">
                    <c:v>3</c:v>
                  </c:pt>
                  <c:pt idx="204">
                    <c:v>5</c:v>
                  </c:pt>
                  <c:pt idx="205">
                    <c:v>4</c:v>
                  </c:pt>
                  <c:pt idx="206">
                    <c:v>4</c:v>
                  </c:pt>
                  <c:pt idx="207">
                    <c:v>4</c:v>
                  </c:pt>
                  <c:pt idx="208">
                    <c:v>5</c:v>
                  </c:pt>
                  <c:pt idx="209">
                    <c:v>4</c:v>
                  </c:pt>
                  <c:pt idx="210">
                    <c:v>5</c:v>
                  </c:pt>
                  <c:pt idx="211">
                    <c:v>3</c:v>
                  </c:pt>
                  <c:pt idx="212">
                    <c:v>4</c:v>
                  </c:pt>
                  <c:pt idx="213">
                    <c:v>5</c:v>
                  </c:pt>
                  <c:pt idx="214">
                    <c:v>4</c:v>
                  </c:pt>
                  <c:pt idx="215">
                    <c:v>5</c:v>
                  </c:pt>
                  <c:pt idx="216">
                    <c:v>4</c:v>
                  </c:pt>
                  <c:pt idx="217">
                    <c:v>4</c:v>
                  </c:pt>
                  <c:pt idx="218">
                    <c:v>4</c:v>
                  </c:pt>
                  <c:pt idx="219">
                    <c:v>4</c:v>
                  </c:pt>
                  <c:pt idx="220">
                    <c:v>4</c:v>
                  </c:pt>
                  <c:pt idx="221">
                    <c:v>4</c:v>
                  </c:pt>
                  <c:pt idx="222">
                    <c:v>5</c:v>
                  </c:pt>
                  <c:pt idx="223">
                    <c:v>3</c:v>
                  </c:pt>
                  <c:pt idx="224">
                    <c:v>5</c:v>
                  </c:pt>
                  <c:pt idx="225">
                    <c:v>5</c:v>
                  </c:pt>
                  <c:pt idx="226">
                    <c:v>4</c:v>
                  </c:pt>
                  <c:pt idx="227">
                    <c:v>2</c:v>
                  </c:pt>
                  <c:pt idx="228">
                    <c:v>4</c:v>
                  </c:pt>
                  <c:pt idx="229">
                    <c:v>4</c:v>
                  </c:pt>
                  <c:pt idx="230">
                    <c:v>4</c:v>
                  </c:pt>
                  <c:pt idx="231">
                    <c:v>4</c:v>
                  </c:pt>
                  <c:pt idx="232">
                    <c:v>4</c:v>
                  </c:pt>
                  <c:pt idx="233">
                    <c:v>5</c:v>
                  </c:pt>
                  <c:pt idx="234">
                    <c:v>3</c:v>
                  </c:pt>
                  <c:pt idx="235">
                    <c:v>4</c:v>
                  </c:pt>
                  <c:pt idx="236">
                    <c:v>3</c:v>
                  </c:pt>
                  <c:pt idx="237">
                    <c:v>5</c:v>
                  </c:pt>
                  <c:pt idx="238">
                    <c:v>2</c:v>
                  </c:pt>
                  <c:pt idx="239">
                    <c:v>4</c:v>
                  </c:pt>
                  <c:pt idx="240">
                    <c:v>5</c:v>
                  </c:pt>
                  <c:pt idx="241">
                    <c:v>4</c:v>
                  </c:pt>
                  <c:pt idx="242">
                    <c:v>4</c:v>
                  </c:pt>
                  <c:pt idx="243">
                    <c:v>4</c:v>
                  </c:pt>
                  <c:pt idx="244">
                    <c:v>3</c:v>
                  </c:pt>
                  <c:pt idx="245">
                    <c:v>5</c:v>
                  </c:pt>
                  <c:pt idx="246">
                    <c:v>4</c:v>
                  </c:pt>
                  <c:pt idx="247">
                    <c:v>4</c:v>
                  </c:pt>
                  <c:pt idx="248">
                    <c:v>4</c:v>
                  </c:pt>
                  <c:pt idx="249">
                    <c:v>4</c:v>
                  </c:pt>
                  <c:pt idx="250">
                    <c:v>5</c:v>
                  </c:pt>
                  <c:pt idx="251">
                    <c:v>4</c:v>
                  </c:pt>
                  <c:pt idx="252">
                    <c:v>4</c:v>
                  </c:pt>
                  <c:pt idx="253">
                    <c:v>5</c:v>
                  </c:pt>
                  <c:pt idx="254">
                    <c:v>4</c:v>
                  </c:pt>
                  <c:pt idx="255">
                    <c:v>4</c:v>
                  </c:pt>
                  <c:pt idx="256">
                    <c:v>5</c:v>
                  </c:pt>
                  <c:pt idx="257">
                    <c:v>3</c:v>
                  </c:pt>
                  <c:pt idx="258">
                    <c:v>4</c:v>
                  </c:pt>
                  <c:pt idx="259">
                    <c:v>4</c:v>
                  </c:pt>
                  <c:pt idx="260">
                    <c:v>4</c:v>
                  </c:pt>
                  <c:pt idx="261">
                    <c:v>4</c:v>
                  </c:pt>
                  <c:pt idx="262">
                    <c:v>5</c:v>
                  </c:pt>
                  <c:pt idx="263">
                    <c:v>5</c:v>
                  </c:pt>
                  <c:pt idx="264">
                    <c:v>3</c:v>
                  </c:pt>
                  <c:pt idx="265">
                    <c:v>5</c:v>
                  </c:pt>
                  <c:pt idx="266">
                    <c:v>5</c:v>
                  </c:pt>
                  <c:pt idx="267">
                    <c:v>5</c:v>
                  </c:pt>
                  <c:pt idx="268">
                    <c:v>4</c:v>
                  </c:pt>
                  <c:pt idx="269">
                    <c:v>4</c:v>
                  </c:pt>
                  <c:pt idx="270">
                    <c:v>4</c:v>
                  </c:pt>
                  <c:pt idx="271">
                    <c:v>4</c:v>
                  </c:pt>
                  <c:pt idx="272">
                    <c:v>4</c:v>
                  </c:pt>
                  <c:pt idx="273">
                    <c:v>4</c:v>
                  </c:pt>
                  <c:pt idx="274">
                    <c:v>4</c:v>
                  </c:pt>
                  <c:pt idx="275">
                    <c:v>5</c:v>
                  </c:pt>
                  <c:pt idx="276">
                    <c:v>5</c:v>
                  </c:pt>
                  <c:pt idx="277">
                    <c:v>5</c:v>
                  </c:pt>
                  <c:pt idx="278">
                    <c:v>4</c:v>
                  </c:pt>
                  <c:pt idx="279">
                    <c:v>5</c:v>
                  </c:pt>
                  <c:pt idx="280">
                    <c:v>3</c:v>
                  </c:pt>
                  <c:pt idx="281">
                    <c:v>3</c:v>
                  </c:pt>
                  <c:pt idx="282">
                    <c:v>5</c:v>
                  </c:pt>
                  <c:pt idx="283">
                    <c:v>4</c:v>
                  </c:pt>
                  <c:pt idx="284">
                    <c:v>4</c:v>
                  </c:pt>
                  <c:pt idx="285">
                    <c:v>4</c:v>
                  </c:pt>
                  <c:pt idx="286">
                    <c:v>2</c:v>
                  </c:pt>
                  <c:pt idx="287">
                    <c:v>5</c:v>
                  </c:pt>
                  <c:pt idx="288">
                    <c:v>5</c:v>
                  </c:pt>
                  <c:pt idx="289">
                    <c:v>4</c:v>
                  </c:pt>
                  <c:pt idx="290">
                    <c:v>2</c:v>
                  </c:pt>
                  <c:pt idx="291">
                    <c:v>4</c:v>
                  </c:pt>
                  <c:pt idx="292">
                    <c:v>5</c:v>
                  </c:pt>
                  <c:pt idx="293">
                    <c:v>3</c:v>
                  </c:pt>
                  <c:pt idx="294">
                    <c:v>5</c:v>
                  </c:pt>
                  <c:pt idx="295">
                    <c:v>5</c:v>
                  </c:pt>
                  <c:pt idx="296">
                    <c:v>4</c:v>
                  </c:pt>
                  <c:pt idx="297">
                    <c:v>4</c:v>
                  </c:pt>
                  <c:pt idx="298">
                    <c:v>4</c:v>
                  </c:pt>
                  <c:pt idx="299">
                    <c:v>4</c:v>
                  </c:pt>
                </c:lvl>
                <c:lvl>
                  <c:pt idx="0">
                    <c:v>Net Banking</c:v>
                  </c:pt>
                  <c:pt idx="1">
                    <c:v>UPI</c:v>
                  </c:pt>
                  <c:pt idx="2">
                    <c:v>Debit Card</c:v>
                  </c:pt>
                  <c:pt idx="3">
                    <c:v>Credit Card</c:v>
                  </c:pt>
                  <c:pt idx="4">
                    <c:v>Net Banking</c:v>
                  </c:pt>
                  <c:pt idx="5">
                    <c:v>Cash on Delivery</c:v>
                  </c:pt>
                  <c:pt idx="6">
                    <c:v>UPI</c:v>
                  </c:pt>
                  <c:pt idx="7">
                    <c:v>Net Banking</c:v>
                  </c:pt>
                  <c:pt idx="8">
                    <c:v>Credit Card</c:v>
                  </c:pt>
                  <c:pt idx="9">
                    <c:v>Debit Card</c:v>
                  </c:pt>
                  <c:pt idx="10">
                    <c:v>Credit Card</c:v>
                  </c:pt>
                  <c:pt idx="11">
                    <c:v>Cash on Delivery</c:v>
                  </c:pt>
                  <c:pt idx="12">
                    <c:v>UPI</c:v>
                  </c:pt>
                  <c:pt idx="13">
                    <c:v>Cash on Delivery</c:v>
                  </c:pt>
                  <c:pt idx="14">
                    <c:v>Debit Card</c:v>
                  </c:pt>
                  <c:pt idx="15">
                    <c:v>Credit Card</c:v>
                  </c:pt>
                  <c:pt idx="16">
                    <c:v>Cash on Delivery</c:v>
                  </c:pt>
                  <c:pt idx="17">
                    <c:v>Credit Card</c:v>
                  </c:pt>
                  <c:pt idx="18">
                    <c:v>Net Banking</c:v>
                  </c:pt>
                  <c:pt idx="19">
                    <c:v>Net Banking</c:v>
                  </c:pt>
                  <c:pt idx="20">
                    <c:v>Net Banking</c:v>
                  </c:pt>
                  <c:pt idx="21">
                    <c:v>Debit Card</c:v>
                  </c:pt>
                  <c:pt idx="22">
                    <c:v>UPI</c:v>
                  </c:pt>
                  <c:pt idx="23">
                    <c:v>Debit Card</c:v>
                  </c:pt>
                  <c:pt idx="24">
                    <c:v>UPI</c:v>
                  </c:pt>
                  <c:pt idx="25">
                    <c:v>Cash on Delivery</c:v>
                  </c:pt>
                  <c:pt idx="26">
                    <c:v>Debit Card</c:v>
                  </c:pt>
                  <c:pt idx="27">
                    <c:v>Cash on Delivery</c:v>
                  </c:pt>
                  <c:pt idx="28">
                    <c:v>Net Banking</c:v>
                  </c:pt>
                  <c:pt idx="29">
                    <c:v>Net Banking</c:v>
                  </c:pt>
                  <c:pt idx="30">
                    <c:v>UPI</c:v>
                  </c:pt>
                  <c:pt idx="31">
                    <c:v>UPI</c:v>
                  </c:pt>
                  <c:pt idx="32">
                    <c:v>Credit Card</c:v>
                  </c:pt>
                  <c:pt idx="33">
                    <c:v>Cash on Delivery</c:v>
                  </c:pt>
                  <c:pt idx="34">
                    <c:v>UPI</c:v>
                  </c:pt>
                  <c:pt idx="35">
                    <c:v>Cash on Delivery</c:v>
                  </c:pt>
                  <c:pt idx="36">
                    <c:v>Cash on Delivery</c:v>
                  </c:pt>
                  <c:pt idx="37">
                    <c:v>Cash on Delivery</c:v>
                  </c:pt>
                  <c:pt idx="38">
                    <c:v>Debit Card</c:v>
                  </c:pt>
                  <c:pt idx="39">
                    <c:v>UPI</c:v>
                  </c:pt>
                  <c:pt idx="40">
                    <c:v>UPI</c:v>
                  </c:pt>
                  <c:pt idx="41">
                    <c:v>Credit Card</c:v>
                  </c:pt>
                  <c:pt idx="42">
                    <c:v>UPI</c:v>
                  </c:pt>
                  <c:pt idx="43">
                    <c:v>Net Banking</c:v>
                  </c:pt>
                  <c:pt idx="44">
                    <c:v>Debit Card</c:v>
                  </c:pt>
                  <c:pt idx="45">
                    <c:v>Cash on Delivery</c:v>
                  </c:pt>
                  <c:pt idx="46">
                    <c:v>Debit Card</c:v>
                  </c:pt>
                  <c:pt idx="47">
                    <c:v>Net Banking</c:v>
                  </c:pt>
                  <c:pt idx="48">
                    <c:v>Cash on Delivery</c:v>
                  </c:pt>
                  <c:pt idx="49">
                    <c:v>Cash on Delivery</c:v>
                  </c:pt>
                  <c:pt idx="50">
                    <c:v>Cash on Delivery</c:v>
                  </c:pt>
                  <c:pt idx="51">
                    <c:v>Credit Card</c:v>
                  </c:pt>
                  <c:pt idx="52">
                    <c:v>Debit Card</c:v>
                  </c:pt>
                  <c:pt idx="53">
                    <c:v>Net Banking</c:v>
                  </c:pt>
                  <c:pt idx="54">
                    <c:v>UPI</c:v>
                  </c:pt>
                  <c:pt idx="55">
                    <c:v>Net Banking</c:v>
                  </c:pt>
                  <c:pt idx="56">
                    <c:v>Cash on Delivery</c:v>
                  </c:pt>
                  <c:pt idx="57">
                    <c:v>Debit Card</c:v>
                  </c:pt>
                  <c:pt idx="58">
                    <c:v>Credit Card</c:v>
                  </c:pt>
                  <c:pt idx="59">
                    <c:v>Debit Card</c:v>
                  </c:pt>
                  <c:pt idx="60">
                    <c:v>Cash on Delivery</c:v>
                  </c:pt>
                  <c:pt idx="61">
                    <c:v>Net Banking</c:v>
                  </c:pt>
                  <c:pt idx="62">
                    <c:v>Credit Card</c:v>
                  </c:pt>
                  <c:pt idx="63">
                    <c:v>Credit Card</c:v>
                  </c:pt>
                  <c:pt idx="64">
                    <c:v>Net Banking</c:v>
                  </c:pt>
                  <c:pt idx="65">
                    <c:v>Credit Card</c:v>
                  </c:pt>
                  <c:pt idx="66">
                    <c:v>Cash on Delivery</c:v>
                  </c:pt>
                  <c:pt idx="67">
                    <c:v>Net Banking</c:v>
                  </c:pt>
                  <c:pt idx="68">
                    <c:v>Debit Card</c:v>
                  </c:pt>
                  <c:pt idx="69">
                    <c:v>Credit Card</c:v>
                  </c:pt>
                  <c:pt idx="70">
                    <c:v>UPI</c:v>
                  </c:pt>
                  <c:pt idx="71">
                    <c:v>Cash on Delivery</c:v>
                  </c:pt>
                  <c:pt idx="72">
                    <c:v>Debit Card</c:v>
                  </c:pt>
                  <c:pt idx="73">
                    <c:v>UPI</c:v>
                  </c:pt>
                  <c:pt idx="74">
                    <c:v>Net Banking</c:v>
                  </c:pt>
                  <c:pt idx="75">
                    <c:v>Debit Card</c:v>
                  </c:pt>
                  <c:pt idx="76">
                    <c:v>Net Banking</c:v>
                  </c:pt>
                  <c:pt idx="77">
                    <c:v>Credit Card</c:v>
                  </c:pt>
                  <c:pt idx="78">
                    <c:v>Net Banking</c:v>
                  </c:pt>
                  <c:pt idx="79">
                    <c:v>Net Banking</c:v>
                  </c:pt>
                  <c:pt idx="80">
                    <c:v>Debit Card</c:v>
                  </c:pt>
                  <c:pt idx="81">
                    <c:v>Net Banking</c:v>
                  </c:pt>
                  <c:pt idx="82">
                    <c:v>Cash on Delivery</c:v>
                  </c:pt>
                  <c:pt idx="83">
                    <c:v>UPI</c:v>
                  </c:pt>
                  <c:pt idx="84">
                    <c:v>Net Banking</c:v>
                  </c:pt>
                  <c:pt idx="85">
                    <c:v>Debit Card</c:v>
                  </c:pt>
                  <c:pt idx="86">
                    <c:v>Cash on Delivery</c:v>
                  </c:pt>
                  <c:pt idx="87">
                    <c:v>UPI</c:v>
                  </c:pt>
                  <c:pt idx="88">
                    <c:v>Net Banking</c:v>
                  </c:pt>
                  <c:pt idx="89">
                    <c:v>Cash on Delivery</c:v>
                  </c:pt>
                  <c:pt idx="90">
                    <c:v>UPI</c:v>
                  </c:pt>
                  <c:pt idx="91">
                    <c:v>Debit Card</c:v>
                  </c:pt>
                  <c:pt idx="92">
                    <c:v>Net Banking</c:v>
                  </c:pt>
                  <c:pt idx="93">
                    <c:v>Cash on Delivery</c:v>
                  </c:pt>
                  <c:pt idx="94">
                    <c:v>Debit Card</c:v>
                  </c:pt>
                  <c:pt idx="95">
                    <c:v>Net Banking</c:v>
                  </c:pt>
                  <c:pt idx="96">
                    <c:v>UPI</c:v>
                  </c:pt>
                  <c:pt idx="97">
                    <c:v>Cash on Delivery</c:v>
                  </c:pt>
                  <c:pt idx="98">
                    <c:v>Debit Card</c:v>
                  </c:pt>
                  <c:pt idx="99">
                    <c:v>Net Banking</c:v>
                  </c:pt>
                  <c:pt idx="100">
                    <c:v>Net Banking</c:v>
                  </c:pt>
                  <c:pt idx="101">
                    <c:v>Cash on Delivery</c:v>
                  </c:pt>
                  <c:pt idx="102">
                    <c:v>Cash on Delivery</c:v>
                  </c:pt>
                  <c:pt idx="103">
                    <c:v>Debit Card</c:v>
                  </c:pt>
                  <c:pt idx="104">
                    <c:v>UPI</c:v>
                  </c:pt>
                  <c:pt idx="105">
                    <c:v>Credit Card</c:v>
                  </c:pt>
                  <c:pt idx="106">
                    <c:v>Net Banking</c:v>
                  </c:pt>
                  <c:pt idx="107">
                    <c:v>UPI</c:v>
                  </c:pt>
                  <c:pt idx="108">
                    <c:v>Net Banking</c:v>
                  </c:pt>
                  <c:pt idx="109">
                    <c:v>Debit Card</c:v>
                  </c:pt>
                  <c:pt idx="110">
                    <c:v>Credit Card</c:v>
                  </c:pt>
                  <c:pt idx="111">
                    <c:v>Cash on Delivery</c:v>
                  </c:pt>
                  <c:pt idx="112">
                    <c:v>Credit Card</c:v>
                  </c:pt>
                  <c:pt idx="113">
                    <c:v>Debit Card</c:v>
                  </c:pt>
                  <c:pt idx="114">
                    <c:v>UPI</c:v>
                  </c:pt>
                  <c:pt idx="115">
                    <c:v>Cash on Delivery</c:v>
                  </c:pt>
                  <c:pt idx="116">
                    <c:v>UPI</c:v>
                  </c:pt>
                  <c:pt idx="117">
                    <c:v>Credit Card</c:v>
                  </c:pt>
                  <c:pt idx="118">
                    <c:v>Debit Card</c:v>
                  </c:pt>
                  <c:pt idx="119">
                    <c:v>Cash on Delivery</c:v>
                  </c:pt>
                  <c:pt idx="120">
                    <c:v>Net Banking</c:v>
                  </c:pt>
                  <c:pt idx="121">
                    <c:v>Debit Card</c:v>
                  </c:pt>
                  <c:pt idx="122">
                    <c:v>Credit Card</c:v>
                  </c:pt>
                  <c:pt idx="123">
                    <c:v>Net Banking</c:v>
                  </c:pt>
                  <c:pt idx="124">
                    <c:v>UPI</c:v>
                  </c:pt>
                  <c:pt idx="125">
                    <c:v>Debit Card</c:v>
                  </c:pt>
                  <c:pt idx="126">
                    <c:v>Debit Card</c:v>
                  </c:pt>
                  <c:pt idx="127">
                    <c:v>Credit Card</c:v>
                  </c:pt>
                  <c:pt idx="128">
                    <c:v>Debit Card</c:v>
                  </c:pt>
                  <c:pt idx="129">
                    <c:v>Net Banking</c:v>
                  </c:pt>
                  <c:pt idx="130">
                    <c:v>Cash on Delivery</c:v>
                  </c:pt>
                  <c:pt idx="131">
                    <c:v>Net Banking</c:v>
                  </c:pt>
                  <c:pt idx="132">
                    <c:v>Net Banking</c:v>
                  </c:pt>
                  <c:pt idx="133">
                    <c:v>Credit Card</c:v>
                  </c:pt>
                  <c:pt idx="134">
                    <c:v>UPI</c:v>
                  </c:pt>
                  <c:pt idx="135">
                    <c:v>Debit Card</c:v>
                  </c:pt>
                  <c:pt idx="136">
                    <c:v>Cash on Delivery</c:v>
                  </c:pt>
                  <c:pt idx="137">
                    <c:v>Debit Card</c:v>
                  </c:pt>
                  <c:pt idx="138">
                    <c:v>Net Banking</c:v>
                  </c:pt>
                  <c:pt idx="139">
                    <c:v>Cash on Delivery</c:v>
                  </c:pt>
                  <c:pt idx="140">
                    <c:v>UPI</c:v>
                  </c:pt>
                  <c:pt idx="141">
                    <c:v>Credit Card</c:v>
                  </c:pt>
                  <c:pt idx="142">
                    <c:v>Credit Card</c:v>
                  </c:pt>
                  <c:pt idx="143">
                    <c:v>Cash on Delivery</c:v>
                  </c:pt>
                  <c:pt idx="144">
                    <c:v>Net Banking</c:v>
                  </c:pt>
                  <c:pt idx="145">
                    <c:v>Net Banking</c:v>
                  </c:pt>
                  <c:pt idx="146">
                    <c:v>Net Banking</c:v>
                  </c:pt>
                  <c:pt idx="147">
                    <c:v>UPI</c:v>
                  </c:pt>
                  <c:pt idx="148">
                    <c:v>UPI</c:v>
                  </c:pt>
                  <c:pt idx="149">
                    <c:v>Cash on Delivery</c:v>
                  </c:pt>
                  <c:pt idx="150">
                    <c:v>Debit Card</c:v>
                  </c:pt>
                  <c:pt idx="151">
                    <c:v>Cash on Delivery</c:v>
                  </c:pt>
                  <c:pt idx="152">
                    <c:v>UPI</c:v>
                  </c:pt>
                  <c:pt idx="153">
                    <c:v>Cash on Delivery</c:v>
                  </c:pt>
                  <c:pt idx="154">
                    <c:v>Cash on Delivery</c:v>
                  </c:pt>
                  <c:pt idx="155">
                    <c:v>Cash on Delivery</c:v>
                  </c:pt>
                  <c:pt idx="156">
                    <c:v>Net Banking</c:v>
                  </c:pt>
                  <c:pt idx="157">
                    <c:v>Credit Card</c:v>
                  </c:pt>
                  <c:pt idx="158">
                    <c:v>Debit Card</c:v>
                  </c:pt>
                  <c:pt idx="159">
                    <c:v>Credit Card</c:v>
                  </c:pt>
                  <c:pt idx="160">
                    <c:v>Cash on Delivery</c:v>
                  </c:pt>
                  <c:pt idx="161">
                    <c:v>Net Banking</c:v>
                  </c:pt>
                  <c:pt idx="162">
                    <c:v>Net Banking</c:v>
                  </c:pt>
                  <c:pt idx="163">
                    <c:v>Cash on Delivery</c:v>
                  </c:pt>
                  <c:pt idx="164">
                    <c:v>Credit Card</c:v>
                  </c:pt>
                  <c:pt idx="165">
                    <c:v>Debit Card</c:v>
                  </c:pt>
                  <c:pt idx="166">
                    <c:v>Credit Card</c:v>
                  </c:pt>
                  <c:pt idx="167">
                    <c:v>Debit Card</c:v>
                  </c:pt>
                  <c:pt idx="168">
                    <c:v>Debit Card</c:v>
                  </c:pt>
                  <c:pt idx="169">
                    <c:v>Debit Card</c:v>
                  </c:pt>
                  <c:pt idx="170">
                    <c:v>UPI</c:v>
                  </c:pt>
                  <c:pt idx="171">
                    <c:v>Cash on Delivery</c:v>
                  </c:pt>
                  <c:pt idx="172">
                    <c:v>Credit Card</c:v>
                  </c:pt>
                  <c:pt idx="173">
                    <c:v>Cash on Delivery</c:v>
                  </c:pt>
                  <c:pt idx="174">
                    <c:v>Cash on Delivery</c:v>
                  </c:pt>
                  <c:pt idx="175">
                    <c:v>Cash on Delivery</c:v>
                  </c:pt>
                  <c:pt idx="176">
                    <c:v>Net Banking</c:v>
                  </c:pt>
                  <c:pt idx="177">
                    <c:v>UPI</c:v>
                  </c:pt>
                  <c:pt idx="178">
                    <c:v>Net Banking</c:v>
                  </c:pt>
                  <c:pt idx="179">
                    <c:v>UPI</c:v>
                  </c:pt>
                  <c:pt idx="180">
                    <c:v>Debit Card</c:v>
                  </c:pt>
                  <c:pt idx="181">
                    <c:v>Credit Card</c:v>
                  </c:pt>
                  <c:pt idx="182">
                    <c:v>UPI</c:v>
                  </c:pt>
                  <c:pt idx="183">
                    <c:v>Net Banking</c:v>
                  </c:pt>
                  <c:pt idx="184">
                    <c:v>Credit Card</c:v>
                  </c:pt>
                  <c:pt idx="185">
                    <c:v>Cash on Delivery</c:v>
                  </c:pt>
                  <c:pt idx="186">
                    <c:v>Cash on Delivery</c:v>
                  </c:pt>
                  <c:pt idx="187">
                    <c:v>Net Banking</c:v>
                  </c:pt>
                  <c:pt idx="188">
                    <c:v>Credit Card</c:v>
                  </c:pt>
                  <c:pt idx="189">
                    <c:v>Net Banking</c:v>
                  </c:pt>
                  <c:pt idx="190">
                    <c:v>Net Banking</c:v>
                  </c:pt>
                  <c:pt idx="191">
                    <c:v>Cash on Delivery</c:v>
                  </c:pt>
                  <c:pt idx="192">
                    <c:v>UPI</c:v>
                  </c:pt>
                  <c:pt idx="193">
                    <c:v>Credit Card</c:v>
                  </c:pt>
                  <c:pt idx="194">
                    <c:v>Cash on Delivery</c:v>
                  </c:pt>
                  <c:pt idx="195">
                    <c:v>Debit Card</c:v>
                  </c:pt>
                  <c:pt idx="196">
                    <c:v>Cash on Delivery</c:v>
                  </c:pt>
                  <c:pt idx="197">
                    <c:v>Credit Card</c:v>
                  </c:pt>
                  <c:pt idx="198">
                    <c:v>UPI</c:v>
                  </c:pt>
                  <c:pt idx="199">
                    <c:v>Debit Card</c:v>
                  </c:pt>
                  <c:pt idx="200">
                    <c:v>Net Banking</c:v>
                  </c:pt>
                  <c:pt idx="201">
                    <c:v>UPI</c:v>
                  </c:pt>
                  <c:pt idx="202">
                    <c:v>Credit Card</c:v>
                  </c:pt>
                  <c:pt idx="203">
                    <c:v>UPI</c:v>
                  </c:pt>
                  <c:pt idx="204">
                    <c:v>Credit Card</c:v>
                  </c:pt>
                  <c:pt idx="205">
                    <c:v>UPI</c:v>
                  </c:pt>
                  <c:pt idx="206">
                    <c:v>Debit Card</c:v>
                  </c:pt>
                  <c:pt idx="207">
                    <c:v>UPI</c:v>
                  </c:pt>
                  <c:pt idx="208">
                    <c:v>UPI</c:v>
                  </c:pt>
                  <c:pt idx="209">
                    <c:v>Cash on Delivery</c:v>
                  </c:pt>
                  <c:pt idx="210">
                    <c:v>Debit Card</c:v>
                  </c:pt>
                  <c:pt idx="211">
                    <c:v>UPI</c:v>
                  </c:pt>
                  <c:pt idx="212">
                    <c:v>Credit Card</c:v>
                  </c:pt>
                  <c:pt idx="213">
                    <c:v>UPI</c:v>
                  </c:pt>
                  <c:pt idx="214">
                    <c:v>Net Banking</c:v>
                  </c:pt>
                  <c:pt idx="215">
                    <c:v>UPI</c:v>
                  </c:pt>
                  <c:pt idx="216">
                    <c:v>UPI</c:v>
                  </c:pt>
                  <c:pt idx="217">
                    <c:v>Cash on Delivery</c:v>
                  </c:pt>
                  <c:pt idx="218">
                    <c:v>Net Banking</c:v>
                  </c:pt>
                  <c:pt idx="219">
                    <c:v>Net Banking</c:v>
                  </c:pt>
                  <c:pt idx="220">
                    <c:v>Credit Card</c:v>
                  </c:pt>
                  <c:pt idx="221">
                    <c:v>UPI</c:v>
                  </c:pt>
                  <c:pt idx="222">
                    <c:v>Net Banking</c:v>
                  </c:pt>
                  <c:pt idx="223">
                    <c:v>Net Banking</c:v>
                  </c:pt>
                  <c:pt idx="224">
                    <c:v>Debit Card</c:v>
                  </c:pt>
                  <c:pt idx="225">
                    <c:v>Net Banking</c:v>
                  </c:pt>
                  <c:pt idx="226">
                    <c:v>Net Banking</c:v>
                  </c:pt>
                  <c:pt idx="227">
                    <c:v>Credit Card</c:v>
                  </c:pt>
                  <c:pt idx="228">
                    <c:v>Cash on Delivery</c:v>
                  </c:pt>
                  <c:pt idx="229">
                    <c:v>UPI</c:v>
                  </c:pt>
                  <c:pt idx="230">
                    <c:v>Cash on Delivery</c:v>
                  </c:pt>
                  <c:pt idx="231">
                    <c:v>Debit Card</c:v>
                  </c:pt>
                  <c:pt idx="232">
                    <c:v>UPI</c:v>
                  </c:pt>
                  <c:pt idx="233">
                    <c:v>Cash on Delivery</c:v>
                  </c:pt>
                  <c:pt idx="234">
                    <c:v>Debit Card</c:v>
                  </c:pt>
                  <c:pt idx="235">
                    <c:v>Credit Card</c:v>
                  </c:pt>
                  <c:pt idx="236">
                    <c:v>Credit Card</c:v>
                  </c:pt>
                  <c:pt idx="237">
                    <c:v>UPI</c:v>
                  </c:pt>
                  <c:pt idx="238">
                    <c:v>UPI</c:v>
                  </c:pt>
                  <c:pt idx="239">
                    <c:v>Debit Card</c:v>
                  </c:pt>
                  <c:pt idx="240">
                    <c:v>Debit Card</c:v>
                  </c:pt>
                  <c:pt idx="241">
                    <c:v>Credit Card</c:v>
                  </c:pt>
                  <c:pt idx="242">
                    <c:v>Credit Card</c:v>
                  </c:pt>
                  <c:pt idx="243">
                    <c:v>UPI</c:v>
                  </c:pt>
                  <c:pt idx="244">
                    <c:v>Credit Card</c:v>
                  </c:pt>
                  <c:pt idx="245">
                    <c:v>Cash on Delivery</c:v>
                  </c:pt>
                  <c:pt idx="246">
                    <c:v>Net Banking</c:v>
                  </c:pt>
                  <c:pt idx="247">
                    <c:v>Debit Card</c:v>
                  </c:pt>
                  <c:pt idx="248">
                    <c:v>Cash on Delivery</c:v>
                  </c:pt>
                  <c:pt idx="249">
                    <c:v>Cash on Delivery</c:v>
                  </c:pt>
                  <c:pt idx="250">
                    <c:v>Debit Card</c:v>
                  </c:pt>
                  <c:pt idx="251">
                    <c:v>Net Banking</c:v>
                  </c:pt>
                  <c:pt idx="252">
                    <c:v>Cash on Delivery</c:v>
                  </c:pt>
                  <c:pt idx="253">
                    <c:v>Credit Card</c:v>
                  </c:pt>
                  <c:pt idx="254">
                    <c:v>Debit Card</c:v>
                  </c:pt>
                  <c:pt idx="255">
                    <c:v>UPI</c:v>
                  </c:pt>
                  <c:pt idx="256">
                    <c:v>Cash on Delivery</c:v>
                  </c:pt>
                  <c:pt idx="257">
                    <c:v>Net Banking</c:v>
                  </c:pt>
                  <c:pt idx="258">
                    <c:v>UPI</c:v>
                  </c:pt>
                  <c:pt idx="259">
                    <c:v>Debit Card</c:v>
                  </c:pt>
                  <c:pt idx="260">
                    <c:v>Debit Card</c:v>
                  </c:pt>
                  <c:pt idx="261">
                    <c:v>Credit Card</c:v>
                  </c:pt>
                  <c:pt idx="262">
                    <c:v>Credit Card</c:v>
                  </c:pt>
                  <c:pt idx="263">
                    <c:v>Debit Card</c:v>
                  </c:pt>
                  <c:pt idx="264">
                    <c:v>Cash on Delivery</c:v>
                  </c:pt>
                  <c:pt idx="265">
                    <c:v>UPI</c:v>
                  </c:pt>
                  <c:pt idx="266">
                    <c:v>Credit Card</c:v>
                  </c:pt>
                  <c:pt idx="267">
                    <c:v>Credit Card</c:v>
                  </c:pt>
                  <c:pt idx="268">
                    <c:v>Cash on Delivery</c:v>
                  </c:pt>
                  <c:pt idx="269">
                    <c:v>Debit Card</c:v>
                  </c:pt>
                  <c:pt idx="270">
                    <c:v>UPI</c:v>
                  </c:pt>
                  <c:pt idx="271">
                    <c:v>Cash on Delivery</c:v>
                  </c:pt>
                  <c:pt idx="272">
                    <c:v>Net Banking</c:v>
                  </c:pt>
                  <c:pt idx="273">
                    <c:v>Credit Card</c:v>
                  </c:pt>
                  <c:pt idx="274">
                    <c:v>Debit Card</c:v>
                  </c:pt>
                  <c:pt idx="275">
                    <c:v>Net Banking</c:v>
                  </c:pt>
                  <c:pt idx="276">
                    <c:v>Cash on Delivery</c:v>
                  </c:pt>
                  <c:pt idx="277">
                    <c:v>Debit Card</c:v>
                  </c:pt>
                  <c:pt idx="278">
                    <c:v>Net Banking</c:v>
                  </c:pt>
                  <c:pt idx="279">
                    <c:v>Cash on Delivery</c:v>
                  </c:pt>
                  <c:pt idx="280">
                    <c:v>Cash on Delivery</c:v>
                  </c:pt>
                  <c:pt idx="281">
                    <c:v>UPI</c:v>
                  </c:pt>
                  <c:pt idx="282">
                    <c:v>Net Banking</c:v>
                  </c:pt>
                  <c:pt idx="283">
                    <c:v>UPI</c:v>
                  </c:pt>
                  <c:pt idx="284">
                    <c:v>Debit Card</c:v>
                  </c:pt>
                  <c:pt idx="285">
                    <c:v>Net Banking</c:v>
                  </c:pt>
                  <c:pt idx="286">
                    <c:v>Cash on Delivery</c:v>
                  </c:pt>
                  <c:pt idx="287">
                    <c:v>Cash on Delivery</c:v>
                  </c:pt>
                  <c:pt idx="288">
                    <c:v>Debit Card</c:v>
                  </c:pt>
                  <c:pt idx="289">
                    <c:v>Net Banking</c:v>
                  </c:pt>
                  <c:pt idx="290">
                    <c:v>Debit Card</c:v>
                  </c:pt>
                  <c:pt idx="291">
                    <c:v>Net Banking</c:v>
                  </c:pt>
                  <c:pt idx="292">
                    <c:v>Credit Card</c:v>
                  </c:pt>
                  <c:pt idx="293">
                    <c:v>Credit Card</c:v>
                  </c:pt>
                  <c:pt idx="294">
                    <c:v>Credit Card</c:v>
                  </c:pt>
                  <c:pt idx="295">
                    <c:v>UPI</c:v>
                  </c:pt>
                  <c:pt idx="296">
                    <c:v>UPI</c:v>
                  </c:pt>
                  <c:pt idx="297">
                    <c:v>Cash on Delivery</c:v>
                  </c:pt>
                  <c:pt idx="298">
                    <c:v>Debit Card</c:v>
                  </c:pt>
                  <c:pt idx="299">
                    <c:v>Credit Card</c:v>
                  </c:pt>
                </c:lvl>
                <c:lvl>
                  <c:pt idx="0">
                    <c:v>3</c:v>
                  </c:pt>
                  <c:pt idx="1">
                    <c:v>5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1</c:v>
                  </c:pt>
                  <c:pt idx="6">
                    <c:v>4</c:v>
                  </c:pt>
                  <c:pt idx="7">
                    <c:v>2</c:v>
                  </c:pt>
                  <c:pt idx="8">
                    <c:v>3</c:v>
                  </c:pt>
                  <c:pt idx="9">
                    <c:v>5</c:v>
                  </c:pt>
                  <c:pt idx="10">
                    <c:v>2</c:v>
                  </c:pt>
                  <c:pt idx="11">
                    <c:v>4</c:v>
                  </c:pt>
                  <c:pt idx="12">
                    <c:v>3</c:v>
                  </c:pt>
                  <c:pt idx="13">
                    <c:v>6</c:v>
                  </c:pt>
                  <c:pt idx="14">
                    <c:v>1</c:v>
                  </c:pt>
                  <c:pt idx="15">
                    <c:v>5</c:v>
                  </c:pt>
                  <c:pt idx="16">
                    <c:v>3</c:v>
                  </c:pt>
                  <c:pt idx="17">
                    <c:v>6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3</c:v>
                  </c:pt>
                  <c:pt idx="22">
                    <c:v>2</c:v>
                  </c:pt>
                  <c:pt idx="23">
                    <c:v>3</c:v>
                  </c:pt>
                  <c:pt idx="24">
                    <c:v>4</c:v>
                  </c:pt>
                  <c:pt idx="25">
                    <c:v>1</c:v>
                  </c:pt>
                  <c:pt idx="26">
                    <c:v>4</c:v>
                  </c:pt>
                  <c:pt idx="27">
                    <c:v>3</c:v>
                  </c:pt>
                  <c:pt idx="28">
                    <c:v>5</c:v>
                  </c:pt>
                  <c:pt idx="29">
                    <c:v>6</c:v>
                  </c:pt>
                  <c:pt idx="30">
                    <c:v>2</c:v>
                  </c:pt>
                  <c:pt idx="31">
                    <c:v>2</c:v>
                  </c:pt>
                  <c:pt idx="32">
                    <c:v>2</c:v>
                  </c:pt>
                  <c:pt idx="33">
                    <c:v>3</c:v>
                  </c:pt>
                  <c:pt idx="34">
                    <c:v>2</c:v>
                  </c:pt>
                  <c:pt idx="35">
                    <c:v>3</c:v>
                  </c:pt>
                  <c:pt idx="36">
                    <c:v>6</c:v>
                  </c:pt>
                  <c:pt idx="37">
                    <c:v>2</c:v>
                  </c:pt>
                  <c:pt idx="38">
                    <c:v>1</c:v>
                  </c:pt>
                  <c:pt idx="39">
                    <c:v>1</c:v>
                  </c:pt>
                  <c:pt idx="40">
                    <c:v>4</c:v>
                  </c:pt>
                  <c:pt idx="41">
                    <c:v>2</c:v>
                  </c:pt>
                  <c:pt idx="42">
                    <c:v>1</c:v>
                  </c:pt>
                  <c:pt idx="43">
                    <c:v>2</c:v>
                  </c:pt>
                  <c:pt idx="44">
                    <c:v>2</c:v>
                  </c:pt>
                  <c:pt idx="45">
                    <c:v>2</c:v>
                  </c:pt>
                  <c:pt idx="46">
                    <c:v>4</c:v>
                  </c:pt>
                  <c:pt idx="47">
                    <c:v>2</c:v>
                  </c:pt>
                  <c:pt idx="48">
                    <c:v>2</c:v>
                  </c:pt>
                  <c:pt idx="49">
                    <c:v>4</c:v>
                  </c:pt>
                  <c:pt idx="50">
                    <c:v>4</c:v>
                  </c:pt>
                  <c:pt idx="51">
                    <c:v>3</c:v>
                  </c:pt>
                  <c:pt idx="52">
                    <c:v>6</c:v>
                  </c:pt>
                  <c:pt idx="53">
                    <c:v>1</c:v>
                  </c:pt>
                  <c:pt idx="54">
                    <c:v>5</c:v>
                  </c:pt>
                  <c:pt idx="55">
                    <c:v>2</c:v>
                  </c:pt>
                  <c:pt idx="56">
                    <c:v>2</c:v>
                  </c:pt>
                  <c:pt idx="57">
                    <c:v>1</c:v>
                  </c:pt>
                  <c:pt idx="58">
                    <c:v>3</c:v>
                  </c:pt>
                  <c:pt idx="59">
                    <c:v>1</c:v>
                  </c:pt>
                  <c:pt idx="60">
                    <c:v>3</c:v>
                  </c:pt>
                  <c:pt idx="61">
                    <c:v>2</c:v>
                  </c:pt>
                  <c:pt idx="62">
                    <c:v>3</c:v>
                  </c:pt>
                  <c:pt idx="63">
                    <c:v>3</c:v>
                  </c:pt>
                  <c:pt idx="64">
                    <c:v>3</c:v>
                  </c:pt>
                  <c:pt idx="65">
                    <c:v>2</c:v>
                  </c:pt>
                  <c:pt idx="66">
                    <c:v>2</c:v>
                  </c:pt>
                  <c:pt idx="67">
                    <c:v>3</c:v>
                  </c:pt>
                  <c:pt idx="68">
                    <c:v>3</c:v>
                  </c:pt>
                  <c:pt idx="69">
                    <c:v>1</c:v>
                  </c:pt>
                  <c:pt idx="70">
                    <c:v>1</c:v>
                  </c:pt>
                  <c:pt idx="71">
                    <c:v>2</c:v>
                  </c:pt>
                  <c:pt idx="72">
                    <c:v>2</c:v>
                  </c:pt>
                  <c:pt idx="73">
                    <c:v>1</c:v>
                  </c:pt>
                  <c:pt idx="74">
                    <c:v>1</c:v>
                  </c:pt>
                  <c:pt idx="75">
                    <c:v>1</c:v>
                  </c:pt>
                  <c:pt idx="76">
                    <c:v>3</c:v>
                  </c:pt>
                  <c:pt idx="77">
                    <c:v>4</c:v>
                  </c:pt>
                  <c:pt idx="78">
                    <c:v>2</c:v>
                  </c:pt>
                  <c:pt idx="79">
                    <c:v>4</c:v>
                  </c:pt>
                  <c:pt idx="80">
                    <c:v>3</c:v>
                  </c:pt>
                  <c:pt idx="81">
                    <c:v>4</c:v>
                  </c:pt>
                  <c:pt idx="82">
                    <c:v>6</c:v>
                  </c:pt>
                  <c:pt idx="83">
                    <c:v>3</c:v>
                  </c:pt>
                  <c:pt idx="84">
                    <c:v>4</c:v>
                  </c:pt>
                  <c:pt idx="85">
                    <c:v>4</c:v>
                  </c:pt>
                  <c:pt idx="86">
                    <c:v>3</c:v>
                  </c:pt>
                  <c:pt idx="87">
                    <c:v>4</c:v>
                  </c:pt>
                  <c:pt idx="88">
                    <c:v>2</c:v>
                  </c:pt>
                  <c:pt idx="89">
                    <c:v>3</c:v>
                  </c:pt>
                  <c:pt idx="90">
                    <c:v>3</c:v>
                  </c:pt>
                  <c:pt idx="91">
                    <c:v>2</c:v>
                  </c:pt>
                  <c:pt idx="92">
                    <c:v>2</c:v>
                  </c:pt>
                  <c:pt idx="93">
                    <c:v>4</c:v>
                  </c:pt>
                  <c:pt idx="94">
                    <c:v>3</c:v>
                  </c:pt>
                  <c:pt idx="95">
                    <c:v>5</c:v>
                  </c:pt>
                  <c:pt idx="96">
                    <c:v>1</c:v>
                  </c:pt>
                  <c:pt idx="97">
                    <c:v>4</c:v>
                  </c:pt>
                  <c:pt idx="98">
                    <c:v>3</c:v>
                  </c:pt>
                  <c:pt idx="99">
                    <c:v>4</c:v>
                  </c:pt>
                  <c:pt idx="100">
                    <c:v>3</c:v>
                  </c:pt>
                  <c:pt idx="101">
                    <c:v>3</c:v>
                  </c:pt>
                  <c:pt idx="102">
                    <c:v>6</c:v>
                  </c:pt>
                  <c:pt idx="103">
                    <c:v>4</c:v>
                  </c:pt>
                  <c:pt idx="104">
                    <c:v>3</c:v>
                  </c:pt>
                  <c:pt idx="105">
                    <c:v>4</c:v>
                  </c:pt>
                  <c:pt idx="106">
                    <c:v>4</c:v>
                  </c:pt>
                  <c:pt idx="107">
                    <c:v>4</c:v>
                  </c:pt>
                  <c:pt idx="108">
                    <c:v>3</c:v>
                  </c:pt>
                  <c:pt idx="109">
                    <c:v>1</c:v>
                  </c:pt>
                  <c:pt idx="110">
                    <c:v>3</c:v>
                  </c:pt>
                  <c:pt idx="111">
                    <c:v>2</c:v>
                  </c:pt>
                  <c:pt idx="112">
                    <c:v>3</c:v>
                  </c:pt>
                  <c:pt idx="113">
                    <c:v>3</c:v>
                  </c:pt>
                  <c:pt idx="114">
                    <c:v>2</c:v>
                  </c:pt>
                  <c:pt idx="115">
                    <c:v>6</c:v>
                  </c:pt>
                  <c:pt idx="116">
                    <c:v>4</c:v>
                  </c:pt>
                  <c:pt idx="117">
                    <c:v>4</c:v>
                  </c:pt>
                  <c:pt idx="118">
                    <c:v>2</c:v>
                  </c:pt>
                  <c:pt idx="119">
                    <c:v>4</c:v>
                  </c:pt>
                  <c:pt idx="120">
                    <c:v>4</c:v>
                  </c:pt>
                  <c:pt idx="121">
                    <c:v>4</c:v>
                  </c:pt>
                  <c:pt idx="122">
                    <c:v>3</c:v>
                  </c:pt>
                  <c:pt idx="123">
                    <c:v>4</c:v>
                  </c:pt>
                  <c:pt idx="124">
                    <c:v>4</c:v>
                  </c:pt>
                  <c:pt idx="125">
                    <c:v>5</c:v>
                  </c:pt>
                  <c:pt idx="126">
                    <c:v>5</c:v>
                  </c:pt>
                  <c:pt idx="127">
                    <c:v>3</c:v>
                  </c:pt>
                  <c:pt idx="128">
                    <c:v>3</c:v>
                  </c:pt>
                  <c:pt idx="129">
                    <c:v>3</c:v>
                  </c:pt>
                  <c:pt idx="130">
                    <c:v>4</c:v>
                  </c:pt>
                  <c:pt idx="131">
                    <c:v>3</c:v>
                  </c:pt>
                  <c:pt idx="132">
                    <c:v>4</c:v>
                  </c:pt>
                  <c:pt idx="133">
                    <c:v>2</c:v>
                  </c:pt>
                  <c:pt idx="134">
                    <c:v>3</c:v>
                  </c:pt>
                  <c:pt idx="135">
                    <c:v>3</c:v>
                  </c:pt>
                  <c:pt idx="136">
                    <c:v>2</c:v>
                  </c:pt>
                  <c:pt idx="137">
                    <c:v>1</c:v>
                  </c:pt>
                  <c:pt idx="138">
                    <c:v>5</c:v>
                  </c:pt>
                  <c:pt idx="139">
                    <c:v>4</c:v>
                  </c:pt>
                  <c:pt idx="140">
                    <c:v>3</c:v>
                  </c:pt>
                  <c:pt idx="141">
                    <c:v>2</c:v>
                  </c:pt>
                  <c:pt idx="142">
                    <c:v>2</c:v>
                  </c:pt>
                  <c:pt idx="143">
                    <c:v>3</c:v>
                  </c:pt>
                  <c:pt idx="144">
                    <c:v>4</c:v>
                  </c:pt>
                  <c:pt idx="145">
                    <c:v>2</c:v>
                  </c:pt>
                  <c:pt idx="146">
                    <c:v>1</c:v>
                  </c:pt>
                  <c:pt idx="147">
                    <c:v>2</c:v>
                  </c:pt>
                  <c:pt idx="148">
                    <c:v>2</c:v>
                  </c:pt>
                  <c:pt idx="149">
                    <c:v>3</c:v>
                  </c:pt>
                  <c:pt idx="150">
                    <c:v>3</c:v>
                  </c:pt>
                  <c:pt idx="151">
                    <c:v>2</c:v>
                  </c:pt>
                  <c:pt idx="152">
                    <c:v>4</c:v>
                  </c:pt>
                  <c:pt idx="153">
                    <c:v>3</c:v>
                  </c:pt>
                  <c:pt idx="154">
                    <c:v>4</c:v>
                  </c:pt>
                  <c:pt idx="155">
                    <c:v>4</c:v>
                  </c:pt>
                  <c:pt idx="156">
                    <c:v>1</c:v>
                  </c:pt>
                  <c:pt idx="157">
                    <c:v>4</c:v>
                  </c:pt>
                  <c:pt idx="158">
                    <c:v>5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3</c:v>
                  </c:pt>
                  <c:pt idx="162">
                    <c:v>4</c:v>
                  </c:pt>
                  <c:pt idx="163">
                    <c:v>6</c:v>
                  </c:pt>
                  <c:pt idx="164">
                    <c:v>3</c:v>
                  </c:pt>
                  <c:pt idx="165">
                    <c:v>2</c:v>
                  </c:pt>
                  <c:pt idx="166">
                    <c:v>5</c:v>
                  </c:pt>
                  <c:pt idx="167">
                    <c:v>4</c:v>
                  </c:pt>
                  <c:pt idx="168">
                    <c:v>2</c:v>
                  </c:pt>
                  <c:pt idx="169">
                    <c:v>2</c:v>
                  </c:pt>
                  <c:pt idx="170">
                    <c:v>2</c:v>
                  </c:pt>
                  <c:pt idx="171">
                    <c:v>3</c:v>
                  </c:pt>
                  <c:pt idx="172">
                    <c:v>5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3</c:v>
                  </c:pt>
                  <c:pt idx="176">
                    <c:v>3</c:v>
                  </c:pt>
                  <c:pt idx="177">
                    <c:v>2</c:v>
                  </c:pt>
                  <c:pt idx="178">
                    <c:v>2</c:v>
                  </c:pt>
                  <c:pt idx="179">
                    <c:v>3</c:v>
                  </c:pt>
                  <c:pt idx="180">
                    <c:v>6</c:v>
                  </c:pt>
                  <c:pt idx="181">
                    <c:v>3</c:v>
                  </c:pt>
                  <c:pt idx="182">
                    <c:v>5</c:v>
                  </c:pt>
                  <c:pt idx="183">
                    <c:v>3</c:v>
                  </c:pt>
                  <c:pt idx="184">
                    <c:v>2</c:v>
                  </c:pt>
                  <c:pt idx="185">
                    <c:v>4</c:v>
                  </c:pt>
                  <c:pt idx="186">
                    <c:v>2</c:v>
                  </c:pt>
                  <c:pt idx="187">
                    <c:v>4</c:v>
                  </c:pt>
                  <c:pt idx="188">
                    <c:v>3</c:v>
                  </c:pt>
                  <c:pt idx="189">
                    <c:v>2</c:v>
                  </c:pt>
                  <c:pt idx="190">
                    <c:v>5</c:v>
                  </c:pt>
                  <c:pt idx="191">
                    <c:v>4</c:v>
                  </c:pt>
                  <c:pt idx="192">
                    <c:v>2</c:v>
                  </c:pt>
                  <c:pt idx="193">
                    <c:v>4</c:v>
                  </c:pt>
                  <c:pt idx="194">
                    <c:v>1</c:v>
                  </c:pt>
                  <c:pt idx="195">
                    <c:v>2</c:v>
                  </c:pt>
                  <c:pt idx="196">
                    <c:v>2</c:v>
                  </c:pt>
                  <c:pt idx="197">
                    <c:v>2</c:v>
                  </c:pt>
                  <c:pt idx="198">
                    <c:v>3</c:v>
                  </c:pt>
                  <c:pt idx="199">
                    <c:v>5</c:v>
                  </c:pt>
                  <c:pt idx="200">
                    <c:v>4</c:v>
                  </c:pt>
                  <c:pt idx="201">
                    <c:v>3</c:v>
                  </c:pt>
                  <c:pt idx="202">
                    <c:v>3</c:v>
                  </c:pt>
                  <c:pt idx="203">
                    <c:v>5</c:v>
                  </c:pt>
                  <c:pt idx="204">
                    <c:v>2</c:v>
                  </c:pt>
                  <c:pt idx="205">
                    <c:v>4</c:v>
                  </c:pt>
                  <c:pt idx="206">
                    <c:v>4</c:v>
                  </c:pt>
                  <c:pt idx="207">
                    <c:v>2</c:v>
                  </c:pt>
                  <c:pt idx="208">
                    <c:v>2</c:v>
                  </c:pt>
                  <c:pt idx="209">
                    <c:v>3</c:v>
                  </c:pt>
                  <c:pt idx="210">
                    <c:v>2</c:v>
                  </c:pt>
                  <c:pt idx="211">
                    <c:v>6</c:v>
                  </c:pt>
                  <c:pt idx="212">
                    <c:v>1</c:v>
                  </c:pt>
                  <c:pt idx="213">
                    <c:v>1</c:v>
                  </c:pt>
                  <c:pt idx="214">
                    <c:v>2</c:v>
                  </c:pt>
                  <c:pt idx="215">
                    <c:v>2</c:v>
                  </c:pt>
                  <c:pt idx="216">
                    <c:v>2</c:v>
                  </c:pt>
                  <c:pt idx="217">
                    <c:v>1</c:v>
                  </c:pt>
                  <c:pt idx="218">
                    <c:v>4</c:v>
                  </c:pt>
                  <c:pt idx="219">
                    <c:v>1</c:v>
                  </c:pt>
                  <c:pt idx="220">
                    <c:v>3</c:v>
                  </c:pt>
                  <c:pt idx="221">
                    <c:v>2</c:v>
                  </c:pt>
                  <c:pt idx="222">
                    <c:v>3</c:v>
                  </c:pt>
                  <c:pt idx="223">
                    <c:v>3</c:v>
                  </c:pt>
                  <c:pt idx="224">
                    <c:v>2</c:v>
                  </c:pt>
                  <c:pt idx="225">
                    <c:v>3</c:v>
                  </c:pt>
                  <c:pt idx="226">
                    <c:v>2</c:v>
                  </c:pt>
                  <c:pt idx="227">
                    <c:v>6</c:v>
                  </c:pt>
                  <c:pt idx="228">
                    <c:v>1</c:v>
                  </c:pt>
                  <c:pt idx="229">
                    <c:v>3</c:v>
                  </c:pt>
                  <c:pt idx="230">
                    <c:v>4</c:v>
                  </c:pt>
                  <c:pt idx="231">
                    <c:v>2</c:v>
                  </c:pt>
                  <c:pt idx="232">
                    <c:v>4</c:v>
                  </c:pt>
                  <c:pt idx="233">
                    <c:v>3</c:v>
                  </c:pt>
                  <c:pt idx="234">
                    <c:v>3</c:v>
                  </c:pt>
                  <c:pt idx="235">
                    <c:v>5</c:v>
                  </c:pt>
                  <c:pt idx="236">
                    <c:v>4</c:v>
                  </c:pt>
                  <c:pt idx="237">
                    <c:v>2</c:v>
                  </c:pt>
                  <c:pt idx="238">
                    <c:v>6</c:v>
                  </c:pt>
                  <c:pt idx="239">
                    <c:v>3</c:v>
                  </c:pt>
                  <c:pt idx="240">
                    <c:v>3</c:v>
                  </c:pt>
                  <c:pt idx="241">
                    <c:v>3</c:v>
                  </c:pt>
                  <c:pt idx="242">
                    <c:v>3</c:v>
                  </c:pt>
                  <c:pt idx="243">
                    <c:v>2</c:v>
                  </c:pt>
                  <c:pt idx="244">
                    <c:v>5</c:v>
                  </c:pt>
                  <c:pt idx="245">
                    <c:v>3</c:v>
                  </c:pt>
                  <c:pt idx="246">
                    <c:v>3</c:v>
                  </c:pt>
                  <c:pt idx="247">
                    <c:v>2</c:v>
                  </c:pt>
                  <c:pt idx="248">
                    <c:v>2</c:v>
                  </c:pt>
                  <c:pt idx="249">
                    <c:v>1</c:v>
                  </c:pt>
                  <c:pt idx="250">
                    <c:v>2</c:v>
                  </c:pt>
                  <c:pt idx="251">
                    <c:v>3</c:v>
                  </c:pt>
                  <c:pt idx="252">
                    <c:v>2</c:v>
                  </c:pt>
                  <c:pt idx="253">
                    <c:v>2</c:v>
                  </c:pt>
                  <c:pt idx="254">
                    <c:v>2</c:v>
                  </c:pt>
                  <c:pt idx="255">
                    <c:v>1</c:v>
                  </c:pt>
                  <c:pt idx="256">
                    <c:v>2</c:v>
                  </c:pt>
                  <c:pt idx="257">
                    <c:v>4</c:v>
                  </c:pt>
                  <c:pt idx="258">
                    <c:v>2</c:v>
                  </c:pt>
                  <c:pt idx="259">
                    <c:v>4</c:v>
                  </c:pt>
                  <c:pt idx="260">
                    <c:v>3</c:v>
                  </c:pt>
                  <c:pt idx="261">
                    <c:v>5</c:v>
                  </c:pt>
                  <c:pt idx="262">
                    <c:v>2</c:v>
                  </c:pt>
                  <c:pt idx="263">
                    <c:v>4</c:v>
                  </c:pt>
                  <c:pt idx="264">
                    <c:v>4</c:v>
                  </c:pt>
                  <c:pt idx="265">
                    <c:v>1</c:v>
                  </c:pt>
                  <c:pt idx="266">
                    <c:v>2</c:v>
                  </c:pt>
                  <c:pt idx="267">
                    <c:v>2</c:v>
                  </c:pt>
                  <c:pt idx="268">
                    <c:v>3</c:v>
                  </c:pt>
                  <c:pt idx="269">
                    <c:v>2</c:v>
                  </c:pt>
                  <c:pt idx="270">
                    <c:v>3</c:v>
                  </c:pt>
                  <c:pt idx="271">
                    <c:v>2</c:v>
                  </c:pt>
                  <c:pt idx="272">
                    <c:v>2</c:v>
                  </c:pt>
                  <c:pt idx="273">
                    <c:v>4</c:v>
                  </c:pt>
                  <c:pt idx="274">
                    <c:v>3</c:v>
                  </c:pt>
                  <c:pt idx="275">
                    <c:v>4</c:v>
                  </c:pt>
                  <c:pt idx="276">
                    <c:v>2</c:v>
                  </c:pt>
                  <c:pt idx="277">
                    <c:v>2</c:v>
                  </c:pt>
                  <c:pt idx="278">
                    <c:v>2</c:v>
                  </c:pt>
                  <c:pt idx="279">
                    <c:v>2</c:v>
                  </c:pt>
                  <c:pt idx="280">
                    <c:v>3</c:v>
                  </c:pt>
                  <c:pt idx="281">
                    <c:v>6</c:v>
                  </c:pt>
                  <c:pt idx="282">
                    <c:v>1</c:v>
                  </c:pt>
                  <c:pt idx="283">
                    <c:v>3</c:v>
                  </c:pt>
                  <c:pt idx="284">
                    <c:v>2</c:v>
                  </c:pt>
                  <c:pt idx="285">
                    <c:v>4</c:v>
                  </c:pt>
                  <c:pt idx="286">
                    <c:v>6</c:v>
                  </c:pt>
                  <c:pt idx="287">
                    <c:v>1</c:v>
                  </c:pt>
                  <c:pt idx="288">
                    <c:v>2</c:v>
                  </c:pt>
                  <c:pt idx="289">
                    <c:v>4</c:v>
                  </c:pt>
                  <c:pt idx="290">
                    <c:v>6</c:v>
                  </c:pt>
                  <c:pt idx="291">
                    <c:v>3</c:v>
                  </c:pt>
                  <c:pt idx="292">
                    <c:v>3</c:v>
                  </c:pt>
                  <c:pt idx="293">
                    <c:v>5</c:v>
                  </c:pt>
                  <c:pt idx="294">
                    <c:v>3</c:v>
                  </c:pt>
                  <c:pt idx="295">
                    <c:v>1</c:v>
                  </c:pt>
                  <c:pt idx="296">
                    <c:v>2</c:v>
                  </c:pt>
                  <c:pt idx="297">
                    <c:v>4</c:v>
                  </c:pt>
                  <c:pt idx="298">
                    <c:v>2</c:v>
                  </c:pt>
                  <c:pt idx="299">
                    <c:v>3</c:v>
                  </c:pt>
                </c:lvl>
                <c:lvl>
                  <c:pt idx="0">
                    <c:v>4</c:v>
                  </c:pt>
                  <c:pt idx="1">
                    <c:v>2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1</c:v>
                  </c:pt>
                  <c:pt idx="6">
                    <c:v>3</c:v>
                  </c:pt>
                  <c:pt idx="7">
                    <c:v>3</c:v>
                  </c:pt>
                  <c:pt idx="8">
                    <c:v>2</c:v>
                  </c:pt>
                  <c:pt idx="9">
                    <c:v>4</c:v>
                  </c:pt>
                  <c:pt idx="10">
                    <c:v>3</c:v>
                  </c:pt>
                  <c:pt idx="11">
                    <c:v>4</c:v>
                  </c:pt>
                  <c:pt idx="12">
                    <c:v>2</c:v>
                  </c:pt>
                  <c:pt idx="13">
                    <c:v>3</c:v>
                  </c:pt>
                  <c:pt idx="14">
                    <c:v>2</c:v>
                  </c:pt>
                  <c:pt idx="15">
                    <c:v>4</c:v>
                  </c:pt>
                  <c:pt idx="16">
                    <c:v>3</c:v>
                  </c:pt>
                  <c:pt idx="17">
                    <c:v>4</c:v>
                  </c:pt>
                  <c:pt idx="18">
                    <c:v>2</c:v>
                  </c:pt>
                  <c:pt idx="19">
                    <c:v>2</c:v>
                  </c:pt>
                  <c:pt idx="20">
                    <c:v>2</c:v>
                  </c:pt>
                  <c:pt idx="21">
                    <c:v>2</c:v>
                  </c:pt>
                  <c:pt idx="22">
                    <c:v>2</c:v>
                  </c:pt>
                  <c:pt idx="23">
                    <c:v>4</c:v>
                  </c:pt>
                  <c:pt idx="24">
                    <c:v>4</c:v>
                  </c:pt>
                  <c:pt idx="25">
                    <c:v>2</c:v>
                  </c:pt>
                  <c:pt idx="26">
                    <c:v>2</c:v>
                  </c:pt>
                  <c:pt idx="27">
                    <c:v>3</c:v>
                  </c:pt>
                  <c:pt idx="28">
                    <c:v>3</c:v>
                  </c:pt>
                  <c:pt idx="29">
                    <c:v>3</c:v>
                  </c:pt>
                  <c:pt idx="30">
                    <c:v>2</c:v>
                  </c:pt>
                  <c:pt idx="31">
                    <c:v>2</c:v>
                  </c:pt>
                  <c:pt idx="32">
                    <c:v>3</c:v>
                  </c:pt>
                  <c:pt idx="33">
                    <c:v>2</c:v>
                  </c:pt>
                  <c:pt idx="34">
                    <c:v>2</c:v>
                  </c:pt>
                  <c:pt idx="35">
                    <c:v>2</c:v>
                  </c:pt>
                  <c:pt idx="36">
                    <c:v>3</c:v>
                  </c:pt>
                  <c:pt idx="37">
                    <c:v>2</c:v>
                  </c:pt>
                  <c:pt idx="38">
                    <c:v>1</c:v>
                  </c:pt>
                  <c:pt idx="39">
                    <c:v>2</c:v>
                  </c:pt>
                  <c:pt idx="40">
                    <c:v>3</c:v>
                  </c:pt>
                  <c:pt idx="41">
                    <c:v>2</c:v>
                  </c:pt>
                  <c:pt idx="42">
                    <c:v>2</c:v>
                  </c:pt>
                  <c:pt idx="43">
                    <c:v>2</c:v>
                  </c:pt>
                  <c:pt idx="44">
                    <c:v>2</c:v>
                  </c:pt>
                  <c:pt idx="45">
                    <c:v>1</c:v>
                  </c:pt>
                  <c:pt idx="46">
                    <c:v>4</c:v>
                  </c:pt>
                  <c:pt idx="47">
                    <c:v>2</c:v>
                  </c:pt>
                  <c:pt idx="48">
                    <c:v>1</c:v>
                  </c:pt>
                  <c:pt idx="49">
                    <c:v>3</c:v>
                  </c:pt>
                  <c:pt idx="50">
                    <c:v>1</c:v>
                  </c:pt>
                  <c:pt idx="51">
                    <c:v>2</c:v>
                  </c:pt>
                  <c:pt idx="52">
                    <c:v>4</c:v>
                  </c:pt>
                  <c:pt idx="53">
                    <c:v>1</c:v>
                  </c:pt>
                  <c:pt idx="54">
                    <c:v>4</c:v>
                  </c:pt>
                  <c:pt idx="55">
                    <c:v>2</c:v>
                  </c:pt>
                  <c:pt idx="56">
                    <c:v>2</c:v>
                  </c:pt>
                  <c:pt idx="57">
                    <c:v>2</c:v>
                  </c:pt>
                  <c:pt idx="58">
                    <c:v>3</c:v>
                  </c:pt>
                  <c:pt idx="59">
                    <c:v>1</c:v>
                  </c:pt>
                  <c:pt idx="60">
                    <c:v>2</c:v>
                  </c:pt>
                  <c:pt idx="61">
                    <c:v>2</c:v>
                  </c:pt>
                  <c:pt idx="62">
                    <c:v>3</c:v>
                  </c:pt>
                  <c:pt idx="63">
                    <c:v>3</c:v>
                  </c:pt>
                  <c:pt idx="64">
                    <c:v>2</c:v>
                  </c:pt>
                  <c:pt idx="65">
                    <c:v>2</c:v>
                  </c:pt>
                  <c:pt idx="66">
                    <c:v>2</c:v>
                  </c:pt>
                  <c:pt idx="67">
                    <c:v>3</c:v>
                  </c:pt>
                  <c:pt idx="68">
                    <c:v>3</c:v>
                  </c:pt>
                  <c:pt idx="69">
                    <c:v>1</c:v>
                  </c:pt>
                  <c:pt idx="70">
                    <c:v>2</c:v>
                  </c:pt>
                  <c:pt idx="71">
                    <c:v>2</c:v>
                  </c:pt>
                  <c:pt idx="72">
                    <c:v>2</c:v>
                  </c:pt>
                  <c:pt idx="73">
                    <c:v>2</c:v>
                  </c:pt>
                  <c:pt idx="74">
                    <c:v>2</c:v>
                  </c:pt>
                  <c:pt idx="75">
                    <c:v>1</c:v>
                  </c:pt>
                  <c:pt idx="76">
                    <c:v>2</c:v>
                  </c:pt>
                  <c:pt idx="77">
                    <c:v>4</c:v>
                  </c:pt>
                  <c:pt idx="78">
                    <c:v>1</c:v>
                  </c:pt>
                  <c:pt idx="79">
                    <c:v>4</c:v>
                  </c:pt>
                  <c:pt idx="80">
                    <c:v>3</c:v>
                  </c:pt>
                  <c:pt idx="81">
                    <c:v>3</c:v>
                  </c:pt>
                  <c:pt idx="82">
                    <c:v>3</c:v>
                  </c:pt>
                  <c:pt idx="83">
                    <c:v>3</c:v>
                  </c:pt>
                  <c:pt idx="84">
                    <c:v>3</c:v>
                  </c:pt>
                  <c:pt idx="85">
                    <c:v>3</c:v>
                  </c:pt>
                  <c:pt idx="86">
                    <c:v>3</c:v>
                  </c:pt>
                  <c:pt idx="87">
                    <c:v>3</c:v>
                  </c:pt>
                  <c:pt idx="88">
                    <c:v>3</c:v>
                  </c:pt>
                  <c:pt idx="89">
                    <c:v>3</c:v>
                  </c:pt>
                  <c:pt idx="90">
                    <c:v>4</c:v>
                  </c:pt>
                  <c:pt idx="91">
                    <c:v>2</c:v>
                  </c:pt>
                  <c:pt idx="92">
                    <c:v>2</c:v>
                  </c:pt>
                  <c:pt idx="93">
                    <c:v>3</c:v>
                  </c:pt>
                  <c:pt idx="94">
                    <c:v>3</c:v>
                  </c:pt>
                  <c:pt idx="95">
                    <c:v>3</c:v>
                  </c:pt>
                  <c:pt idx="96">
                    <c:v>1</c:v>
                  </c:pt>
                  <c:pt idx="97">
                    <c:v>3</c:v>
                  </c:pt>
                  <c:pt idx="98">
                    <c:v>2</c:v>
                  </c:pt>
                  <c:pt idx="99">
                    <c:v>4</c:v>
                  </c:pt>
                  <c:pt idx="100">
                    <c:v>3</c:v>
                  </c:pt>
                  <c:pt idx="101">
                    <c:v>2</c:v>
                  </c:pt>
                  <c:pt idx="102">
                    <c:v>3</c:v>
                  </c:pt>
                  <c:pt idx="103">
                    <c:v>3</c:v>
                  </c:pt>
                  <c:pt idx="104">
                    <c:v>3</c:v>
                  </c:pt>
                  <c:pt idx="105">
                    <c:v>3</c:v>
                  </c:pt>
                  <c:pt idx="106">
                    <c:v>3</c:v>
                  </c:pt>
                  <c:pt idx="107">
                    <c:v>3</c:v>
                  </c:pt>
                  <c:pt idx="108">
                    <c:v>3</c:v>
                  </c:pt>
                  <c:pt idx="109">
                    <c:v>1</c:v>
                  </c:pt>
                  <c:pt idx="110">
                    <c:v>3</c:v>
                  </c:pt>
                  <c:pt idx="111">
                    <c:v>3</c:v>
                  </c:pt>
                  <c:pt idx="112">
                    <c:v>3</c:v>
                  </c:pt>
                  <c:pt idx="113">
                    <c:v>2</c:v>
                  </c:pt>
                  <c:pt idx="114">
                    <c:v>1</c:v>
                  </c:pt>
                  <c:pt idx="115">
                    <c:v>3</c:v>
                  </c:pt>
                  <c:pt idx="116">
                    <c:v>3</c:v>
                  </c:pt>
                  <c:pt idx="117">
                    <c:v>4</c:v>
                  </c:pt>
                  <c:pt idx="118">
                    <c:v>2</c:v>
                  </c:pt>
                  <c:pt idx="119">
                    <c:v>3</c:v>
                  </c:pt>
                  <c:pt idx="120">
                    <c:v>3</c:v>
                  </c:pt>
                  <c:pt idx="121">
                    <c:v>4</c:v>
                  </c:pt>
                  <c:pt idx="122">
                    <c:v>2</c:v>
                  </c:pt>
                  <c:pt idx="123">
                    <c:v>3</c:v>
                  </c:pt>
                  <c:pt idx="124">
                    <c:v>4</c:v>
                  </c:pt>
                  <c:pt idx="125">
                    <c:v>3</c:v>
                  </c:pt>
                  <c:pt idx="126">
                    <c:v>2</c:v>
                  </c:pt>
                  <c:pt idx="127">
                    <c:v>3</c:v>
                  </c:pt>
                  <c:pt idx="128">
                    <c:v>2</c:v>
                  </c:pt>
                  <c:pt idx="129">
                    <c:v>3</c:v>
                  </c:pt>
                  <c:pt idx="130">
                    <c:v>3</c:v>
                  </c:pt>
                  <c:pt idx="131">
                    <c:v>3</c:v>
                  </c:pt>
                  <c:pt idx="132">
                    <c:v>3</c:v>
                  </c:pt>
                  <c:pt idx="133">
                    <c:v>2</c:v>
                  </c:pt>
                  <c:pt idx="134">
                    <c:v>2</c:v>
                  </c:pt>
                  <c:pt idx="135">
                    <c:v>3</c:v>
                  </c:pt>
                  <c:pt idx="136">
                    <c:v>2</c:v>
                  </c:pt>
                  <c:pt idx="137">
                    <c:v>1</c:v>
                  </c:pt>
                  <c:pt idx="138">
                    <c:v>3</c:v>
                  </c:pt>
                  <c:pt idx="139">
                    <c:v>3</c:v>
                  </c:pt>
                  <c:pt idx="140">
                    <c:v>4</c:v>
                  </c:pt>
                  <c:pt idx="141">
                    <c:v>2</c:v>
                  </c:pt>
                  <c:pt idx="142">
                    <c:v>3</c:v>
                  </c:pt>
                  <c:pt idx="143">
                    <c:v>3</c:v>
                  </c:pt>
                  <c:pt idx="144">
                    <c:v>4</c:v>
                  </c:pt>
                  <c:pt idx="145">
                    <c:v>2</c:v>
                  </c:pt>
                  <c:pt idx="146">
                    <c:v>1</c:v>
                  </c:pt>
                  <c:pt idx="147">
                    <c:v>2</c:v>
                  </c:pt>
                  <c:pt idx="148">
                    <c:v>3</c:v>
                  </c:pt>
                  <c:pt idx="149">
                    <c:v>3</c:v>
                  </c:pt>
                  <c:pt idx="150">
                    <c:v>3</c:v>
                  </c:pt>
                  <c:pt idx="151">
                    <c:v>2</c:v>
                  </c:pt>
                  <c:pt idx="152">
                    <c:v>4</c:v>
                  </c:pt>
                  <c:pt idx="153">
                    <c:v>3</c:v>
                  </c:pt>
                  <c:pt idx="154">
                    <c:v>2</c:v>
                  </c:pt>
                  <c:pt idx="155">
                    <c:v>4</c:v>
                  </c:pt>
                  <c:pt idx="156">
                    <c:v>1</c:v>
                  </c:pt>
                  <c:pt idx="157">
                    <c:v>4</c:v>
                  </c:pt>
                  <c:pt idx="158">
                    <c:v>3</c:v>
                  </c:pt>
                  <c:pt idx="159">
                    <c:v>2</c:v>
                  </c:pt>
                  <c:pt idx="160">
                    <c:v>2</c:v>
                  </c:pt>
                  <c:pt idx="161">
                    <c:v>3</c:v>
                  </c:pt>
                  <c:pt idx="162">
                    <c:v>3</c:v>
                  </c:pt>
                  <c:pt idx="163">
                    <c:v>4</c:v>
                  </c:pt>
                  <c:pt idx="164">
                    <c:v>3</c:v>
                  </c:pt>
                  <c:pt idx="165">
                    <c:v>3</c:v>
                  </c:pt>
                  <c:pt idx="166">
                    <c:v>4</c:v>
                  </c:pt>
                  <c:pt idx="167">
                    <c:v>3</c:v>
                  </c:pt>
                  <c:pt idx="168">
                    <c:v>2</c:v>
                  </c:pt>
                  <c:pt idx="169">
                    <c:v>2</c:v>
                  </c:pt>
                  <c:pt idx="170">
                    <c:v>3</c:v>
                  </c:pt>
                  <c:pt idx="171">
                    <c:v>4</c:v>
                  </c:pt>
                  <c:pt idx="172">
                    <c:v>2</c:v>
                  </c:pt>
                  <c:pt idx="173">
                    <c:v>1</c:v>
                  </c:pt>
                  <c:pt idx="174">
                    <c:v>3</c:v>
                  </c:pt>
                  <c:pt idx="175">
                    <c:v>3</c:v>
                  </c:pt>
                  <c:pt idx="176">
                    <c:v>3</c:v>
                  </c:pt>
                  <c:pt idx="177">
                    <c:v>2</c:v>
                  </c:pt>
                  <c:pt idx="178">
                    <c:v>2</c:v>
                  </c:pt>
                  <c:pt idx="179">
                    <c:v>2</c:v>
                  </c:pt>
                  <c:pt idx="180">
                    <c:v>3</c:v>
                  </c:pt>
                  <c:pt idx="181">
                    <c:v>3</c:v>
                  </c:pt>
                  <c:pt idx="182">
                    <c:v>4</c:v>
                  </c:pt>
                  <c:pt idx="183">
                    <c:v>3</c:v>
                  </c:pt>
                  <c:pt idx="184">
                    <c:v>2</c:v>
                  </c:pt>
                  <c:pt idx="185">
                    <c:v>3</c:v>
                  </c:pt>
                  <c:pt idx="186">
                    <c:v>2</c:v>
                  </c:pt>
                  <c:pt idx="187">
                    <c:v>4</c:v>
                  </c:pt>
                  <c:pt idx="188">
                    <c:v>3</c:v>
                  </c:pt>
                  <c:pt idx="189">
                    <c:v>2</c:v>
                  </c:pt>
                  <c:pt idx="190">
                    <c:v>4</c:v>
                  </c:pt>
                  <c:pt idx="191">
                    <c:v>3</c:v>
                  </c:pt>
                  <c:pt idx="192">
                    <c:v>2</c:v>
                  </c:pt>
                  <c:pt idx="193">
                    <c:v>4</c:v>
                  </c:pt>
                  <c:pt idx="194">
                    <c:v>2</c:v>
                  </c:pt>
                  <c:pt idx="195">
                    <c:v>3</c:v>
                  </c:pt>
                  <c:pt idx="196">
                    <c:v>2</c:v>
                  </c:pt>
                  <c:pt idx="197">
                    <c:v>3</c:v>
                  </c:pt>
                  <c:pt idx="198">
                    <c:v>3</c:v>
                  </c:pt>
                  <c:pt idx="199">
                    <c:v>3</c:v>
                  </c:pt>
                  <c:pt idx="200">
                    <c:v>3</c:v>
                  </c:pt>
                  <c:pt idx="201">
                    <c:v>3</c:v>
                  </c:pt>
                  <c:pt idx="202">
                    <c:v>3</c:v>
                  </c:pt>
                  <c:pt idx="203">
                    <c:v>3</c:v>
                  </c:pt>
                  <c:pt idx="204">
                    <c:v>2</c:v>
                  </c:pt>
                  <c:pt idx="205">
                    <c:v>4</c:v>
                  </c:pt>
                  <c:pt idx="206">
                    <c:v>3</c:v>
                  </c:pt>
                  <c:pt idx="207">
                    <c:v>3</c:v>
                  </c:pt>
                  <c:pt idx="208">
                    <c:v>3</c:v>
                  </c:pt>
                  <c:pt idx="209">
                    <c:v>3</c:v>
                  </c:pt>
                  <c:pt idx="210">
                    <c:v>2</c:v>
                  </c:pt>
                  <c:pt idx="211">
                    <c:v>3</c:v>
                  </c:pt>
                  <c:pt idx="212">
                    <c:v>1</c:v>
                  </c:pt>
                  <c:pt idx="213">
                    <c:v>2</c:v>
                  </c:pt>
                  <c:pt idx="214">
                    <c:v>3</c:v>
                  </c:pt>
                  <c:pt idx="215">
                    <c:v>2</c:v>
                  </c:pt>
                  <c:pt idx="216">
                    <c:v>2</c:v>
                  </c:pt>
                  <c:pt idx="217">
                    <c:v>1</c:v>
                  </c:pt>
                  <c:pt idx="218">
                    <c:v>3</c:v>
                  </c:pt>
                  <c:pt idx="219">
                    <c:v>2</c:v>
                  </c:pt>
                  <c:pt idx="220">
                    <c:v>2</c:v>
                  </c:pt>
                  <c:pt idx="221">
                    <c:v>2</c:v>
                  </c:pt>
                  <c:pt idx="222">
                    <c:v>3</c:v>
                  </c:pt>
                  <c:pt idx="223">
                    <c:v>2</c:v>
                  </c:pt>
                  <c:pt idx="224">
                    <c:v>2</c:v>
                  </c:pt>
                  <c:pt idx="225">
                    <c:v>3</c:v>
                  </c:pt>
                  <c:pt idx="226">
                    <c:v>2</c:v>
                  </c:pt>
                  <c:pt idx="227">
                    <c:v>3</c:v>
                  </c:pt>
                  <c:pt idx="228">
                    <c:v>2</c:v>
                  </c:pt>
                  <c:pt idx="229">
                    <c:v>2</c:v>
                  </c:pt>
                  <c:pt idx="230">
                    <c:v>3</c:v>
                  </c:pt>
                  <c:pt idx="231">
                    <c:v>2</c:v>
                  </c:pt>
                  <c:pt idx="232">
                    <c:v>3</c:v>
                  </c:pt>
                  <c:pt idx="233">
                    <c:v>3</c:v>
                  </c:pt>
                  <c:pt idx="234">
                    <c:v>2</c:v>
                  </c:pt>
                  <c:pt idx="235">
                    <c:v>4</c:v>
                  </c:pt>
                  <c:pt idx="236">
                    <c:v>3</c:v>
                  </c:pt>
                  <c:pt idx="237">
                    <c:v>2</c:v>
                  </c:pt>
                  <c:pt idx="238">
                    <c:v>3</c:v>
                  </c:pt>
                  <c:pt idx="239">
                    <c:v>3</c:v>
                  </c:pt>
                  <c:pt idx="240">
                    <c:v>3</c:v>
                  </c:pt>
                  <c:pt idx="241">
                    <c:v>3</c:v>
                  </c:pt>
                  <c:pt idx="242">
                    <c:v>3</c:v>
                  </c:pt>
                  <c:pt idx="243">
                    <c:v>2</c:v>
                  </c:pt>
                  <c:pt idx="244">
                    <c:v>3</c:v>
                  </c:pt>
                  <c:pt idx="245">
                    <c:v>3</c:v>
                  </c:pt>
                  <c:pt idx="246">
                    <c:v>3</c:v>
                  </c:pt>
                  <c:pt idx="247">
                    <c:v>2</c:v>
                  </c:pt>
                  <c:pt idx="248">
                    <c:v>1</c:v>
                  </c:pt>
                  <c:pt idx="249">
                    <c:v>1</c:v>
                  </c:pt>
                  <c:pt idx="250">
                    <c:v>2</c:v>
                  </c:pt>
                  <c:pt idx="251">
                    <c:v>3</c:v>
                  </c:pt>
                  <c:pt idx="252">
                    <c:v>2</c:v>
                  </c:pt>
                  <c:pt idx="253">
                    <c:v>2</c:v>
                  </c:pt>
                  <c:pt idx="254">
                    <c:v>3</c:v>
                  </c:pt>
                  <c:pt idx="255">
                    <c:v>1</c:v>
                  </c:pt>
                  <c:pt idx="256">
                    <c:v>2</c:v>
                  </c:pt>
                  <c:pt idx="257">
                    <c:v>2</c:v>
                  </c:pt>
                  <c:pt idx="258">
                    <c:v>2</c:v>
                  </c:pt>
                  <c:pt idx="259">
                    <c:v>4</c:v>
                  </c:pt>
                  <c:pt idx="260">
                    <c:v>3</c:v>
                  </c:pt>
                  <c:pt idx="261">
                    <c:v>4</c:v>
                  </c:pt>
                  <c:pt idx="262">
                    <c:v>2</c:v>
                  </c:pt>
                  <c:pt idx="263">
                    <c:v>4</c:v>
                  </c:pt>
                  <c:pt idx="264">
                    <c:v>3</c:v>
                  </c:pt>
                  <c:pt idx="265">
                    <c:v>1</c:v>
                  </c:pt>
                  <c:pt idx="266">
                    <c:v>2</c:v>
                  </c:pt>
                  <c:pt idx="267">
                    <c:v>3</c:v>
                  </c:pt>
                  <c:pt idx="268">
                    <c:v>3</c:v>
                  </c:pt>
                  <c:pt idx="269">
                    <c:v>1</c:v>
                  </c:pt>
                  <c:pt idx="270">
                    <c:v>2</c:v>
                  </c:pt>
                  <c:pt idx="271">
                    <c:v>3</c:v>
                  </c:pt>
                  <c:pt idx="272">
                    <c:v>2</c:v>
                  </c:pt>
                  <c:pt idx="273">
                    <c:v>3</c:v>
                  </c:pt>
                  <c:pt idx="274">
                    <c:v>2</c:v>
                  </c:pt>
                  <c:pt idx="275">
                    <c:v>4</c:v>
                  </c:pt>
                  <c:pt idx="276">
                    <c:v>2</c:v>
                  </c:pt>
                  <c:pt idx="277">
                    <c:v>3</c:v>
                  </c:pt>
                  <c:pt idx="278">
                    <c:v>1</c:v>
                  </c:pt>
                  <c:pt idx="279">
                    <c:v>2</c:v>
                  </c:pt>
                  <c:pt idx="280">
                    <c:v>2</c:v>
                  </c:pt>
                  <c:pt idx="281">
                    <c:v>3</c:v>
                  </c:pt>
                  <c:pt idx="282">
                    <c:v>1</c:v>
                  </c:pt>
                  <c:pt idx="283">
                    <c:v>3</c:v>
                  </c:pt>
                  <c:pt idx="284">
                    <c:v>2</c:v>
                  </c:pt>
                  <c:pt idx="285">
                    <c:v>3</c:v>
                  </c:pt>
                  <c:pt idx="286">
                    <c:v>3</c:v>
                  </c:pt>
                  <c:pt idx="287">
                    <c:v>1</c:v>
                  </c:pt>
                  <c:pt idx="288">
                    <c:v>3</c:v>
                  </c:pt>
                  <c:pt idx="289">
                    <c:v>3</c:v>
                  </c:pt>
                  <c:pt idx="290">
                    <c:v>3</c:v>
                  </c:pt>
                  <c:pt idx="291">
                    <c:v>3</c:v>
                  </c:pt>
                  <c:pt idx="292">
                    <c:v>3</c:v>
                  </c:pt>
                  <c:pt idx="293">
                    <c:v>3</c:v>
                  </c:pt>
                  <c:pt idx="294">
                    <c:v>3</c:v>
                  </c:pt>
                  <c:pt idx="295">
                    <c:v>2</c:v>
                  </c:pt>
                  <c:pt idx="296">
                    <c:v>2</c:v>
                  </c:pt>
                  <c:pt idx="297">
                    <c:v>3</c:v>
                  </c:pt>
                  <c:pt idx="298">
                    <c:v>3</c:v>
                  </c:pt>
                  <c:pt idx="299">
                    <c:v>2</c:v>
                  </c:pt>
                </c:lvl>
                <c:lvl>
                  <c:pt idx="0">
                    <c:v>0%</c:v>
                  </c:pt>
                  <c:pt idx="1">
                    <c:v>10%</c:v>
                  </c:pt>
                  <c:pt idx="2">
                    <c:v>25%</c:v>
                  </c:pt>
                  <c:pt idx="3">
                    <c:v>0%</c:v>
                  </c:pt>
                  <c:pt idx="4">
                    <c:v>0%</c:v>
                  </c:pt>
                  <c:pt idx="5">
                    <c:v>5%</c:v>
                  </c:pt>
                  <c:pt idx="6">
                    <c:v>20%</c:v>
                  </c:pt>
                  <c:pt idx="7">
                    <c:v>5%</c:v>
                  </c:pt>
                  <c:pt idx="8">
                    <c:v>10%</c:v>
                  </c:pt>
                  <c:pt idx="9">
                    <c:v>25%</c:v>
                  </c:pt>
                  <c:pt idx="10">
                    <c:v>10%</c:v>
                  </c:pt>
                  <c:pt idx="11">
                    <c:v>10%</c:v>
                  </c:pt>
                  <c:pt idx="12">
                    <c:v>0%</c:v>
                  </c:pt>
                  <c:pt idx="13">
                    <c:v>10%</c:v>
                  </c:pt>
                  <c:pt idx="14">
                    <c:v>25%</c:v>
                  </c:pt>
                  <c:pt idx="15">
                    <c:v>15%</c:v>
                  </c:pt>
                  <c:pt idx="16">
                    <c:v>5%</c:v>
                  </c:pt>
                  <c:pt idx="17">
                    <c:v>0%</c:v>
                  </c:pt>
                  <c:pt idx="18">
                    <c:v>5%</c:v>
                  </c:pt>
                  <c:pt idx="19">
                    <c:v>25%</c:v>
                  </c:pt>
                  <c:pt idx="20">
                    <c:v>10%</c:v>
                  </c:pt>
                  <c:pt idx="21">
                    <c:v>5%</c:v>
                  </c:pt>
                  <c:pt idx="22">
                    <c:v>10%</c:v>
                  </c:pt>
                  <c:pt idx="23">
                    <c:v>10%</c:v>
                  </c:pt>
                  <c:pt idx="24">
                    <c:v>15%</c:v>
                  </c:pt>
                  <c:pt idx="25">
                    <c:v>25%</c:v>
                  </c:pt>
                  <c:pt idx="26">
                    <c:v>15%</c:v>
                  </c:pt>
                  <c:pt idx="27">
                    <c:v>20%</c:v>
                  </c:pt>
                  <c:pt idx="28">
                    <c:v>20%</c:v>
                  </c:pt>
                  <c:pt idx="29">
                    <c:v>25%</c:v>
                  </c:pt>
                  <c:pt idx="30">
                    <c:v>25%</c:v>
                  </c:pt>
                  <c:pt idx="31">
                    <c:v>0%</c:v>
                  </c:pt>
                  <c:pt idx="32">
                    <c:v>15%</c:v>
                  </c:pt>
                  <c:pt idx="33">
                    <c:v>20%</c:v>
                  </c:pt>
                  <c:pt idx="34">
                    <c:v>15%</c:v>
                  </c:pt>
                  <c:pt idx="35">
                    <c:v>10%</c:v>
                  </c:pt>
                  <c:pt idx="36">
                    <c:v>15%</c:v>
                  </c:pt>
                  <c:pt idx="37">
                    <c:v>15%</c:v>
                  </c:pt>
                  <c:pt idx="38">
                    <c:v>25%</c:v>
                  </c:pt>
                  <c:pt idx="39">
                    <c:v>10%</c:v>
                  </c:pt>
                  <c:pt idx="40">
                    <c:v>5%</c:v>
                  </c:pt>
                  <c:pt idx="41">
                    <c:v>0%</c:v>
                  </c:pt>
                  <c:pt idx="42">
                    <c:v>0%</c:v>
                  </c:pt>
                  <c:pt idx="43">
                    <c:v>25%</c:v>
                  </c:pt>
                  <c:pt idx="44">
                    <c:v>15%</c:v>
                  </c:pt>
                  <c:pt idx="45">
                    <c:v>20%</c:v>
                  </c:pt>
                  <c:pt idx="46">
                    <c:v>10%</c:v>
                  </c:pt>
                  <c:pt idx="47">
                    <c:v>25%</c:v>
                  </c:pt>
                  <c:pt idx="48">
                    <c:v>10%</c:v>
                  </c:pt>
                  <c:pt idx="49">
                    <c:v>15%</c:v>
                  </c:pt>
                  <c:pt idx="50">
                    <c:v>10%</c:v>
                  </c:pt>
                  <c:pt idx="51">
                    <c:v>15%</c:v>
                  </c:pt>
                  <c:pt idx="52">
                    <c:v>25%</c:v>
                  </c:pt>
                  <c:pt idx="53">
                    <c:v>15%</c:v>
                  </c:pt>
                  <c:pt idx="54">
                    <c:v>10%</c:v>
                  </c:pt>
                  <c:pt idx="55">
                    <c:v>25%</c:v>
                  </c:pt>
                  <c:pt idx="56">
                    <c:v>25%</c:v>
                  </c:pt>
                  <c:pt idx="57">
                    <c:v>0%</c:v>
                  </c:pt>
                  <c:pt idx="58">
                    <c:v>20%</c:v>
                  </c:pt>
                  <c:pt idx="59">
                    <c:v>15%</c:v>
                  </c:pt>
                  <c:pt idx="60">
                    <c:v>20%</c:v>
                  </c:pt>
                  <c:pt idx="61">
                    <c:v>10%</c:v>
                  </c:pt>
                  <c:pt idx="62">
                    <c:v>15%</c:v>
                  </c:pt>
                  <c:pt idx="63">
                    <c:v>20%</c:v>
                  </c:pt>
                  <c:pt idx="64">
                    <c:v>25%</c:v>
                  </c:pt>
                  <c:pt idx="65">
                    <c:v>25%</c:v>
                  </c:pt>
                  <c:pt idx="66">
                    <c:v>10%</c:v>
                  </c:pt>
                  <c:pt idx="67">
                    <c:v>5%</c:v>
                  </c:pt>
                  <c:pt idx="68">
                    <c:v>15%</c:v>
                  </c:pt>
                  <c:pt idx="69">
                    <c:v>10%</c:v>
                  </c:pt>
                  <c:pt idx="70">
                    <c:v>25%</c:v>
                  </c:pt>
                  <c:pt idx="71">
                    <c:v>5%</c:v>
                  </c:pt>
                  <c:pt idx="72">
                    <c:v>5%</c:v>
                  </c:pt>
                  <c:pt idx="73">
                    <c:v>25%</c:v>
                  </c:pt>
                  <c:pt idx="74">
                    <c:v>0%</c:v>
                  </c:pt>
                  <c:pt idx="75">
                    <c:v>15%</c:v>
                  </c:pt>
                  <c:pt idx="76">
                    <c:v>0%</c:v>
                  </c:pt>
                  <c:pt idx="77">
                    <c:v>5%</c:v>
                  </c:pt>
                  <c:pt idx="78">
                    <c:v>5%</c:v>
                  </c:pt>
                  <c:pt idx="79">
                    <c:v>10%</c:v>
                  </c:pt>
                  <c:pt idx="80">
                    <c:v>15%</c:v>
                  </c:pt>
                  <c:pt idx="81">
                    <c:v>15%</c:v>
                  </c:pt>
                  <c:pt idx="82">
                    <c:v>15%</c:v>
                  </c:pt>
                  <c:pt idx="83">
                    <c:v>0%</c:v>
                  </c:pt>
                  <c:pt idx="84">
                    <c:v>10%</c:v>
                  </c:pt>
                  <c:pt idx="85">
                    <c:v>20%</c:v>
                  </c:pt>
                  <c:pt idx="86">
                    <c:v>5%</c:v>
                  </c:pt>
                  <c:pt idx="87">
                    <c:v>10%</c:v>
                  </c:pt>
                  <c:pt idx="88">
                    <c:v>15%</c:v>
                  </c:pt>
                  <c:pt idx="89">
                    <c:v>15%</c:v>
                  </c:pt>
                  <c:pt idx="90">
                    <c:v>20%</c:v>
                  </c:pt>
                  <c:pt idx="91">
                    <c:v>15%</c:v>
                  </c:pt>
                  <c:pt idx="92">
                    <c:v>20%</c:v>
                  </c:pt>
                  <c:pt idx="93">
                    <c:v>10%</c:v>
                  </c:pt>
                  <c:pt idx="94">
                    <c:v>20%</c:v>
                  </c:pt>
                  <c:pt idx="95">
                    <c:v>0%</c:v>
                  </c:pt>
                  <c:pt idx="96">
                    <c:v>25%</c:v>
                  </c:pt>
                  <c:pt idx="97">
                    <c:v>0%</c:v>
                  </c:pt>
                  <c:pt idx="98">
                    <c:v>25%</c:v>
                  </c:pt>
                  <c:pt idx="99">
                    <c:v>10%</c:v>
                  </c:pt>
                  <c:pt idx="100">
                    <c:v>5%</c:v>
                  </c:pt>
                  <c:pt idx="101">
                    <c:v>20%</c:v>
                  </c:pt>
                  <c:pt idx="102">
                    <c:v>25%</c:v>
                  </c:pt>
                  <c:pt idx="103">
                    <c:v>20%</c:v>
                  </c:pt>
                  <c:pt idx="104">
                    <c:v>5%</c:v>
                  </c:pt>
                  <c:pt idx="105">
                    <c:v>10%</c:v>
                  </c:pt>
                  <c:pt idx="106">
                    <c:v>25%</c:v>
                  </c:pt>
                  <c:pt idx="107">
                    <c:v>5%</c:v>
                  </c:pt>
                  <c:pt idx="108">
                    <c:v>0%</c:v>
                  </c:pt>
                  <c:pt idx="109">
                    <c:v>20%</c:v>
                  </c:pt>
                  <c:pt idx="110">
                    <c:v>0%</c:v>
                  </c:pt>
                  <c:pt idx="111">
                    <c:v>0%</c:v>
                  </c:pt>
                  <c:pt idx="112">
                    <c:v>0%</c:v>
                  </c:pt>
                  <c:pt idx="113">
                    <c:v>10%</c:v>
                  </c:pt>
                  <c:pt idx="114">
                    <c:v>15%</c:v>
                  </c:pt>
                  <c:pt idx="115">
                    <c:v>25%</c:v>
                  </c:pt>
                  <c:pt idx="116">
                    <c:v>10%</c:v>
                  </c:pt>
                  <c:pt idx="117">
                    <c:v>15%</c:v>
                  </c:pt>
                  <c:pt idx="118">
                    <c:v>15%</c:v>
                  </c:pt>
                  <c:pt idx="119">
                    <c:v>20%</c:v>
                  </c:pt>
                  <c:pt idx="120">
                    <c:v>25%</c:v>
                  </c:pt>
                  <c:pt idx="121">
                    <c:v>25%</c:v>
                  </c:pt>
                  <c:pt idx="122">
                    <c:v>10%</c:v>
                  </c:pt>
                  <c:pt idx="123">
                    <c:v>25%</c:v>
                  </c:pt>
                  <c:pt idx="124">
                    <c:v>15%</c:v>
                  </c:pt>
                  <c:pt idx="125">
                    <c:v>15%</c:v>
                  </c:pt>
                  <c:pt idx="126">
                    <c:v>15%</c:v>
                  </c:pt>
                  <c:pt idx="127">
                    <c:v>15%</c:v>
                  </c:pt>
                  <c:pt idx="128">
                    <c:v>25%</c:v>
                  </c:pt>
                  <c:pt idx="129">
                    <c:v>20%</c:v>
                  </c:pt>
                  <c:pt idx="130">
                    <c:v>20%</c:v>
                  </c:pt>
                  <c:pt idx="131">
                    <c:v>5%</c:v>
                  </c:pt>
                  <c:pt idx="132">
                    <c:v>10%</c:v>
                  </c:pt>
                  <c:pt idx="133">
                    <c:v>20%</c:v>
                  </c:pt>
                  <c:pt idx="134">
                    <c:v>15%</c:v>
                  </c:pt>
                  <c:pt idx="135">
                    <c:v>20%</c:v>
                  </c:pt>
                  <c:pt idx="136">
                    <c:v>20%</c:v>
                  </c:pt>
                  <c:pt idx="137">
                    <c:v>10%</c:v>
                  </c:pt>
                  <c:pt idx="138">
                    <c:v>5%</c:v>
                  </c:pt>
                  <c:pt idx="139">
                    <c:v>15%</c:v>
                  </c:pt>
                  <c:pt idx="140">
                    <c:v>0%</c:v>
                  </c:pt>
                  <c:pt idx="141">
                    <c:v>0%</c:v>
                  </c:pt>
                  <c:pt idx="142">
                    <c:v>25%</c:v>
                  </c:pt>
                  <c:pt idx="143">
                    <c:v>20%</c:v>
                  </c:pt>
                  <c:pt idx="144">
                    <c:v>25%</c:v>
                  </c:pt>
                  <c:pt idx="145">
                    <c:v>25%</c:v>
                  </c:pt>
                  <c:pt idx="146">
                    <c:v>20%</c:v>
                  </c:pt>
                  <c:pt idx="147">
                    <c:v>5%</c:v>
                  </c:pt>
                  <c:pt idx="148">
                    <c:v>15%</c:v>
                  </c:pt>
                  <c:pt idx="149">
                    <c:v>0%</c:v>
                  </c:pt>
                  <c:pt idx="150">
                    <c:v>0%</c:v>
                  </c:pt>
                  <c:pt idx="151">
                    <c:v>15%</c:v>
                  </c:pt>
                  <c:pt idx="152">
                    <c:v>15%</c:v>
                  </c:pt>
                  <c:pt idx="153">
                    <c:v>25%</c:v>
                  </c:pt>
                  <c:pt idx="154">
                    <c:v>5%</c:v>
                  </c:pt>
                  <c:pt idx="155">
                    <c:v>5%</c:v>
                  </c:pt>
                  <c:pt idx="156">
                    <c:v>10%</c:v>
                  </c:pt>
                  <c:pt idx="157">
                    <c:v>5%</c:v>
                  </c:pt>
                  <c:pt idx="158">
                    <c:v>25%</c:v>
                  </c:pt>
                  <c:pt idx="159">
                    <c:v>0%</c:v>
                  </c:pt>
                  <c:pt idx="160">
                    <c:v>5%</c:v>
                  </c:pt>
                  <c:pt idx="161">
                    <c:v>25%</c:v>
                  </c:pt>
                  <c:pt idx="162">
                    <c:v>25%</c:v>
                  </c:pt>
                  <c:pt idx="163">
                    <c:v>20%</c:v>
                  </c:pt>
                  <c:pt idx="164">
                    <c:v>20%</c:v>
                  </c:pt>
                  <c:pt idx="165">
                    <c:v>0%</c:v>
                  </c:pt>
                  <c:pt idx="166">
                    <c:v>25%</c:v>
                  </c:pt>
                  <c:pt idx="167">
                    <c:v>5%</c:v>
                  </c:pt>
                  <c:pt idx="168">
                    <c:v>0%</c:v>
                  </c:pt>
                  <c:pt idx="169">
                    <c:v>15%</c:v>
                  </c:pt>
                  <c:pt idx="170">
                    <c:v>25%</c:v>
                  </c:pt>
                  <c:pt idx="171">
                    <c:v>15%</c:v>
                  </c:pt>
                  <c:pt idx="172">
                    <c:v>20%</c:v>
                  </c:pt>
                  <c:pt idx="173">
                    <c:v>15%</c:v>
                  </c:pt>
                  <c:pt idx="174">
                    <c:v>25%</c:v>
                  </c:pt>
                  <c:pt idx="175">
                    <c:v>10%</c:v>
                  </c:pt>
                  <c:pt idx="176">
                    <c:v>15%</c:v>
                  </c:pt>
                  <c:pt idx="177">
                    <c:v>20%</c:v>
                  </c:pt>
                  <c:pt idx="178">
                    <c:v>25%</c:v>
                  </c:pt>
                  <c:pt idx="179">
                    <c:v>10%</c:v>
                  </c:pt>
                  <c:pt idx="180">
                    <c:v>20%</c:v>
                  </c:pt>
                  <c:pt idx="181">
                    <c:v>25%</c:v>
                  </c:pt>
                  <c:pt idx="182">
                    <c:v>15%</c:v>
                  </c:pt>
                  <c:pt idx="183">
                    <c:v>5%</c:v>
                  </c:pt>
                  <c:pt idx="184">
                    <c:v>25%</c:v>
                  </c:pt>
                  <c:pt idx="185">
                    <c:v>20%</c:v>
                  </c:pt>
                  <c:pt idx="186">
                    <c:v>10%</c:v>
                  </c:pt>
                  <c:pt idx="187">
                    <c:v>0%</c:v>
                  </c:pt>
                  <c:pt idx="188">
                    <c:v>20%</c:v>
                  </c:pt>
                  <c:pt idx="189">
                    <c:v>10%</c:v>
                  </c:pt>
                  <c:pt idx="190">
                    <c:v>0%</c:v>
                  </c:pt>
                  <c:pt idx="191">
                    <c:v>0%</c:v>
                  </c:pt>
                  <c:pt idx="192">
                    <c:v>0%</c:v>
                  </c:pt>
                  <c:pt idx="193">
                    <c:v>0%</c:v>
                  </c:pt>
                  <c:pt idx="194">
                    <c:v>0%</c:v>
                  </c:pt>
                  <c:pt idx="195">
                    <c:v>5%</c:v>
                  </c:pt>
                  <c:pt idx="196">
                    <c:v>15%</c:v>
                  </c:pt>
                  <c:pt idx="197">
                    <c:v>5%</c:v>
                  </c:pt>
                  <c:pt idx="198">
                    <c:v>5%</c:v>
                  </c:pt>
                  <c:pt idx="199">
                    <c:v>10%</c:v>
                  </c:pt>
                  <c:pt idx="200">
                    <c:v>5%</c:v>
                  </c:pt>
                  <c:pt idx="201">
                    <c:v>15%</c:v>
                  </c:pt>
                  <c:pt idx="202">
                    <c:v>15%</c:v>
                  </c:pt>
                  <c:pt idx="203">
                    <c:v>20%</c:v>
                  </c:pt>
                  <c:pt idx="204">
                    <c:v>15%</c:v>
                  </c:pt>
                  <c:pt idx="205">
                    <c:v>10%</c:v>
                  </c:pt>
                  <c:pt idx="206">
                    <c:v>25%</c:v>
                  </c:pt>
                  <c:pt idx="207">
                    <c:v>5%</c:v>
                  </c:pt>
                  <c:pt idx="208">
                    <c:v>10%</c:v>
                  </c:pt>
                  <c:pt idx="209">
                    <c:v>10%</c:v>
                  </c:pt>
                  <c:pt idx="210">
                    <c:v>5%</c:v>
                  </c:pt>
                  <c:pt idx="211">
                    <c:v>0%</c:v>
                  </c:pt>
                  <c:pt idx="212">
                    <c:v>20%</c:v>
                  </c:pt>
                  <c:pt idx="213">
                    <c:v>15%</c:v>
                  </c:pt>
                  <c:pt idx="214">
                    <c:v>5%</c:v>
                  </c:pt>
                  <c:pt idx="215">
                    <c:v>5%</c:v>
                  </c:pt>
                  <c:pt idx="216">
                    <c:v>5%</c:v>
                  </c:pt>
                  <c:pt idx="217">
                    <c:v>0%</c:v>
                  </c:pt>
                  <c:pt idx="218">
                    <c:v>0%</c:v>
                  </c:pt>
                  <c:pt idx="219">
                    <c:v>15%</c:v>
                  </c:pt>
                  <c:pt idx="220">
                    <c:v>10%</c:v>
                  </c:pt>
                  <c:pt idx="221">
                    <c:v>20%</c:v>
                  </c:pt>
                  <c:pt idx="222">
                    <c:v>5%</c:v>
                  </c:pt>
                  <c:pt idx="223">
                    <c:v>20%</c:v>
                  </c:pt>
                  <c:pt idx="224">
                    <c:v>10%</c:v>
                  </c:pt>
                  <c:pt idx="225">
                    <c:v>10%</c:v>
                  </c:pt>
                  <c:pt idx="226">
                    <c:v>5%</c:v>
                  </c:pt>
                  <c:pt idx="227">
                    <c:v>20%</c:v>
                  </c:pt>
                  <c:pt idx="228">
                    <c:v>5%</c:v>
                  </c:pt>
                  <c:pt idx="229">
                    <c:v>15%</c:v>
                  </c:pt>
                  <c:pt idx="230">
                    <c:v>5%</c:v>
                  </c:pt>
                  <c:pt idx="231">
                    <c:v>5%</c:v>
                  </c:pt>
                  <c:pt idx="232">
                    <c:v>15%</c:v>
                  </c:pt>
                  <c:pt idx="233">
                    <c:v>0%</c:v>
                  </c:pt>
                  <c:pt idx="234">
                    <c:v>15%</c:v>
                  </c:pt>
                  <c:pt idx="235">
                    <c:v>5%</c:v>
                  </c:pt>
                  <c:pt idx="236">
                    <c:v>20%</c:v>
                  </c:pt>
                  <c:pt idx="237">
                    <c:v>15%</c:v>
                  </c:pt>
                  <c:pt idx="238">
                    <c:v>20%</c:v>
                  </c:pt>
                  <c:pt idx="239">
                    <c:v>10%</c:v>
                  </c:pt>
                  <c:pt idx="240">
                    <c:v>10%</c:v>
                  </c:pt>
                  <c:pt idx="241">
                    <c:v>5%</c:v>
                  </c:pt>
                  <c:pt idx="242">
                    <c:v>20%</c:v>
                  </c:pt>
                  <c:pt idx="243">
                    <c:v>15%</c:v>
                  </c:pt>
                  <c:pt idx="244">
                    <c:v>20%</c:v>
                  </c:pt>
                  <c:pt idx="245">
                    <c:v>25%</c:v>
                  </c:pt>
                  <c:pt idx="246">
                    <c:v>10%</c:v>
                  </c:pt>
                  <c:pt idx="247">
                    <c:v>20%</c:v>
                  </c:pt>
                  <c:pt idx="248">
                    <c:v>5%</c:v>
                  </c:pt>
                  <c:pt idx="249">
                    <c:v>15%</c:v>
                  </c:pt>
                  <c:pt idx="250">
                    <c:v>20%</c:v>
                  </c:pt>
                  <c:pt idx="251">
                    <c:v>5%</c:v>
                  </c:pt>
                  <c:pt idx="252">
                    <c:v>25%</c:v>
                  </c:pt>
                  <c:pt idx="253">
                    <c:v>0%</c:v>
                  </c:pt>
                  <c:pt idx="254">
                    <c:v>15%</c:v>
                  </c:pt>
                  <c:pt idx="255">
                    <c:v>25%</c:v>
                  </c:pt>
                  <c:pt idx="256">
                    <c:v>10%</c:v>
                  </c:pt>
                  <c:pt idx="257">
                    <c:v>5%</c:v>
                  </c:pt>
                  <c:pt idx="258">
                    <c:v>0%</c:v>
                  </c:pt>
                  <c:pt idx="259">
                    <c:v>25%</c:v>
                  </c:pt>
                  <c:pt idx="260">
                    <c:v>20%</c:v>
                  </c:pt>
                  <c:pt idx="261">
                    <c:v>0%</c:v>
                  </c:pt>
                  <c:pt idx="262">
                    <c:v>0%</c:v>
                  </c:pt>
                  <c:pt idx="263">
                    <c:v>15%</c:v>
                  </c:pt>
                  <c:pt idx="264">
                    <c:v>0%</c:v>
                  </c:pt>
                  <c:pt idx="265">
                    <c:v>20%</c:v>
                  </c:pt>
                  <c:pt idx="266">
                    <c:v>20%</c:v>
                  </c:pt>
                  <c:pt idx="267">
                    <c:v>5%</c:v>
                  </c:pt>
                  <c:pt idx="268">
                    <c:v>20%</c:v>
                  </c:pt>
                  <c:pt idx="269">
                    <c:v>25%</c:v>
                  </c:pt>
                  <c:pt idx="270">
                    <c:v>0%</c:v>
                  </c:pt>
                  <c:pt idx="271">
                    <c:v>10%</c:v>
                  </c:pt>
                  <c:pt idx="272">
                    <c:v>15%</c:v>
                  </c:pt>
                  <c:pt idx="273">
                    <c:v>20%</c:v>
                  </c:pt>
                  <c:pt idx="274">
                    <c:v>20%</c:v>
                  </c:pt>
                  <c:pt idx="275">
                    <c:v>20%</c:v>
                  </c:pt>
                  <c:pt idx="276">
                    <c:v>25%</c:v>
                  </c:pt>
                  <c:pt idx="277">
                    <c:v>0%</c:v>
                  </c:pt>
                  <c:pt idx="278">
                    <c:v>20%</c:v>
                  </c:pt>
                  <c:pt idx="279">
                    <c:v>25%</c:v>
                  </c:pt>
                  <c:pt idx="280">
                    <c:v>25%</c:v>
                  </c:pt>
                  <c:pt idx="281">
                    <c:v>5%</c:v>
                  </c:pt>
                  <c:pt idx="282">
                    <c:v>10%</c:v>
                  </c:pt>
                  <c:pt idx="283">
                    <c:v>5%</c:v>
                  </c:pt>
                  <c:pt idx="284">
                    <c:v>20%</c:v>
                  </c:pt>
                  <c:pt idx="285">
                    <c:v>20%</c:v>
                  </c:pt>
                  <c:pt idx="286">
                    <c:v>5%</c:v>
                  </c:pt>
                  <c:pt idx="287">
                    <c:v>0%</c:v>
                  </c:pt>
                  <c:pt idx="288">
                    <c:v>25%</c:v>
                  </c:pt>
                  <c:pt idx="289">
                    <c:v>15%</c:v>
                  </c:pt>
                  <c:pt idx="290">
                    <c:v>20%</c:v>
                  </c:pt>
                  <c:pt idx="291">
                    <c:v>5%</c:v>
                  </c:pt>
                  <c:pt idx="292">
                    <c:v>5%</c:v>
                  </c:pt>
                  <c:pt idx="293">
                    <c:v>20%</c:v>
                  </c:pt>
                  <c:pt idx="294">
                    <c:v>15%</c:v>
                  </c:pt>
                  <c:pt idx="295">
                    <c:v>25%</c:v>
                  </c:pt>
                  <c:pt idx="296">
                    <c:v>10%</c:v>
                  </c:pt>
                  <c:pt idx="297">
                    <c:v>20%</c:v>
                  </c:pt>
                  <c:pt idx="298">
                    <c:v>20%</c:v>
                  </c:pt>
                  <c:pt idx="299">
                    <c:v>20%</c:v>
                  </c:pt>
                </c:lvl>
                <c:lvl>
                  <c:pt idx="0">
                    <c:v>₹4,243</c:v>
                  </c:pt>
                  <c:pt idx="1">
                    <c:v>₹2,293</c:v>
                  </c:pt>
                  <c:pt idx="2">
                    <c:v>₹594</c:v>
                  </c:pt>
                  <c:pt idx="3">
                    <c:v>₹809</c:v>
                  </c:pt>
                  <c:pt idx="4">
                    <c:v>₹741</c:v>
                  </c:pt>
                  <c:pt idx="5">
                    <c:v>₹393</c:v>
                  </c:pt>
                  <c:pt idx="6">
                    <c:v>₹3,868</c:v>
                  </c:pt>
                  <c:pt idx="7">
                    <c:v>₹7,378</c:v>
                  </c:pt>
                  <c:pt idx="8">
                    <c:v>₹4,223</c:v>
                  </c:pt>
                  <c:pt idx="9">
                    <c:v>₹250</c:v>
                  </c:pt>
                  <c:pt idx="10">
                    <c:v>₹7,614</c:v>
                  </c:pt>
                  <c:pt idx="11">
                    <c:v>₹1,036</c:v>
                  </c:pt>
                  <c:pt idx="12">
                    <c:v>₹647</c:v>
                  </c:pt>
                  <c:pt idx="13">
                    <c:v>₹4,766</c:v>
                  </c:pt>
                  <c:pt idx="14">
                    <c:v>₹2,862</c:v>
                  </c:pt>
                  <c:pt idx="15">
                    <c:v>₹1,573</c:v>
                  </c:pt>
                  <c:pt idx="16">
                    <c:v>₹4,307</c:v>
                  </c:pt>
                  <c:pt idx="17">
                    <c:v>₹340</c:v>
                  </c:pt>
                  <c:pt idx="18">
                    <c:v>₹1,604</c:v>
                  </c:pt>
                  <c:pt idx="19">
                    <c:v>₹954</c:v>
                  </c:pt>
                  <c:pt idx="20">
                    <c:v>₹4,650</c:v>
                  </c:pt>
                  <c:pt idx="21">
                    <c:v>₹1,858</c:v>
                  </c:pt>
                  <c:pt idx="22">
                    <c:v>₹3,653</c:v>
                  </c:pt>
                  <c:pt idx="23">
                    <c:v>₹2,317</c:v>
                  </c:pt>
                  <c:pt idx="24">
                    <c:v>₹1,100</c:v>
                  </c:pt>
                  <c:pt idx="25">
                    <c:v>₹1,256</c:v>
                  </c:pt>
                  <c:pt idx="26">
                    <c:v>₹987</c:v>
                  </c:pt>
                  <c:pt idx="27">
                    <c:v>₹7,819</c:v>
                  </c:pt>
                  <c:pt idx="28">
                    <c:v>₹1,786</c:v>
                  </c:pt>
                  <c:pt idx="29">
                    <c:v>₹2,532</c:v>
                  </c:pt>
                  <c:pt idx="30">
                    <c:v>₹483</c:v>
                  </c:pt>
                  <c:pt idx="31">
                    <c:v>₹1,736</c:v>
                  </c:pt>
                  <c:pt idx="32">
                    <c:v>₹3,233</c:v>
                  </c:pt>
                  <c:pt idx="33">
                    <c:v>₹2,270</c:v>
                  </c:pt>
                  <c:pt idx="34">
                    <c:v>₹1,066</c:v>
                  </c:pt>
                  <c:pt idx="35">
                    <c:v>₹968</c:v>
                  </c:pt>
                  <c:pt idx="36">
                    <c:v>₹2,449</c:v>
                  </c:pt>
                  <c:pt idx="37">
                    <c:v>₹1,832</c:v>
                  </c:pt>
                  <c:pt idx="38">
                    <c:v>₹2,069</c:v>
                  </c:pt>
                  <c:pt idx="39">
                    <c:v>₹1,713</c:v>
                  </c:pt>
                  <c:pt idx="40">
                    <c:v>₹6,052</c:v>
                  </c:pt>
                  <c:pt idx="41">
                    <c:v>₹486</c:v>
                  </c:pt>
                  <c:pt idx="42">
                    <c:v>₹1,029</c:v>
                  </c:pt>
                  <c:pt idx="43">
                    <c:v>₹466</c:v>
                  </c:pt>
                  <c:pt idx="44">
                    <c:v>₹972</c:v>
                  </c:pt>
                  <c:pt idx="45">
                    <c:v>₹769</c:v>
                  </c:pt>
                  <c:pt idx="46">
                    <c:v>₹4,880</c:v>
                  </c:pt>
                  <c:pt idx="47">
                    <c:v>₹1,428</c:v>
                  </c:pt>
                  <c:pt idx="48">
                    <c:v>₹805</c:v>
                  </c:pt>
                  <c:pt idx="49">
                    <c:v>₹6,466</c:v>
                  </c:pt>
                  <c:pt idx="50">
                    <c:v>₹2,034</c:v>
                  </c:pt>
                  <c:pt idx="51">
                    <c:v>₹1,421</c:v>
                  </c:pt>
                  <c:pt idx="52">
                    <c:v>₹2,311</c:v>
                  </c:pt>
                  <c:pt idx="53">
                    <c:v>₹1,911</c:v>
                  </c:pt>
                  <c:pt idx="54">
                    <c:v>₹1,900</c:v>
                  </c:pt>
                  <c:pt idx="55">
                    <c:v>₹537</c:v>
                  </c:pt>
                  <c:pt idx="56">
                    <c:v>₹1,976</c:v>
                  </c:pt>
                  <c:pt idx="57">
                    <c:v>₹1,157</c:v>
                  </c:pt>
                  <c:pt idx="58">
                    <c:v>₹2,650</c:v>
                  </c:pt>
                  <c:pt idx="59">
                    <c:v>₹995</c:v>
                  </c:pt>
                  <c:pt idx="60">
                    <c:v>₹1,159</c:v>
                  </c:pt>
                  <c:pt idx="61">
                    <c:v>₹1,344</c:v>
                  </c:pt>
                  <c:pt idx="62">
                    <c:v>₹3,480</c:v>
                  </c:pt>
                  <c:pt idx="63">
                    <c:v>₹3,977</c:v>
                  </c:pt>
                  <c:pt idx="64">
                    <c:v>₹1,626</c:v>
                  </c:pt>
                  <c:pt idx="65">
                    <c:v>₹2,182</c:v>
                  </c:pt>
                  <c:pt idx="66">
                    <c:v>₹846</c:v>
                  </c:pt>
                  <c:pt idx="67">
                    <c:v>₹2,073</c:v>
                  </c:pt>
                  <c:pt idx="68">
                    <c:v>₹6,301</c:v>
                  </c:pt>
                  <c:pt idx="69">
                    <c:v>₹877</c:v>
                  </c:pt>
                  <c:pt idx="70">
                    <c:v>₹518</c:v>
                  </c:pt>
                  <c:pt idx="71">
                    <c:v>₹537</c:v>
                  </c:pt>
                  <c:pt idx="72">
                    <c:v>₹764</c:v>
                  </c:pt>
                  <c:pt idx="73">
                    <c:v>₹927</c:v>
                  </c:pt>
                  <c:pt idx="74">
                    <c:v>₹2,246</c:v>
                  </c:pt>
                  <c:pt idx="75">
                    <c:v>₹1,159</c:v>
                  </c:pt>
                  <c:pt idx="76">
                    <c:v>₹1,161</c:v>
                  </c:pt>
                  <c:pt idx="77">
                    <c:v>₹4,945</c:v>
                  </c:pt>
                  <c:pt idx="78">
                    <c:v>₹2,328</c:v>
                  </c:pt>
                  <c:pt idx="79">
                    <c:v>₹7,395</c:v>
                  </c:pt>
                  <c:pt idx="80">
                    <c:v>₹3,871</c:v>
                  </c:pt>
                  <c:pt idx="81">
                    <c:v>₹1,655</c:v>
                  </c:pt>
                  <c:pt idx="82">
                    <c:v>₹2,509</c:v>
                  </c:pt>
                  <c:pt idx="83">
                    <c:v>₹2,529</c:v>
                  </c:pt>
                  <c:pt idx="84">
                    <c:v>₹1,277</c:v>
                  </c:pt>
                  <c:pt idx="85">
                    <c:v>₹1,255</c:v>
                  </c:pt>
                  <c:pt idx="86">
                    <c:v>₹2,537</c:v>
                  </c:pt>
                  <c:pt idx="87">
                    <c:v>₹2,071</c:v>
                  </c:pt>
                  <c:pt idx="88">
                    <c:v>₹2,685</c:v>
                  </c:pt>
                  <c:pt idx="89">
                    <c:v>₹556</c:v>
                  </c:pt>
                  <c:pt idx="90">
                    <c:v>₹1,233</c:v>
                  </c:pt>
                  <c:pt idx="91">
                    <c:v>₹2,039</c:v>
                  </c:pt>
                  <c:pt idx="92">
                    <c:v>₹2,667</c:v>
                  </c:pt>
                  <c:pt idx="93">
                    <c:v>₹2,998</c:v>
                  </c:pt>
                  <c:pt idx="94">
                    <c:v>₹250</c:v>
                  </c:pt>
                  <c:pt idx="95">
                    <c:v>₹5,991</c:v>
                  </c:pt>
                  <c:pt idx="96">
                    <c:v>₹250</c:v>
                  </c:pt>
                  <c:pt idx="97">
                    <c:v>₹1,197</c:v>
                  </c:pt>
                  <c:pt idx="98">
                    <c:v>₹1,644</c:v>
                  </c:pt>
                  <c:pt idx="99">
                    <c:v>₹2,815</c:v>
                  </c:pt>
                  <c:pt idx="100">
                    <c:v>₹3,624</c:v>
                  </c:pt>
                  <c:pt idx="101">
                    <c:v>₹1,458</c:v>
                  </c:pt>
                  <c:pt idx="102">
                    <c:v>₹4,218</c:v>
                  </c:pt>
                  <c:pt idx="103">
                    <c:v>₹808</c:v>
                  </c:pt>
                  <c:pt idx="104">
                    <c:v>₹5,415</c:v>
                  </c:pt>
                  <c:pt idx="105">
                    <c:v>₹2,551</c:v>
                  </c:pt>
                  <c:pt idx="106">
                    <c:v>₹3,745</c:v>
                  </c:pt>
                  <c:pt idx="107">
                    <c:v>₹1,981</c:v>
                  </c:pt>
                  <c:pt idx="108">
                    <c:v>₹1,302</c:v>
                  </c:pt>
                  <c:pt idx="109">
                    <c:v>₹911</c:v>
                  </c:pt>
                  <c:pt idx="110">
                    <c:v>₹3,991</c:v>
                  </c:pt>
                  <c:pt idx="111">
                    <c:v>₹1,961</c:v>
                  </c:pt>
                  <c:pt idx="112">
                    <c:v>₹3,080</c:v>
                  </c:pt>
                  <c:pt idx="113">
                    <c:v>₹4,927</c:v>
                  </c:pt>
                  <c:pt idx="114">
                    <c:v>₹1,725</c:v>
                  </c:pt>
                  <c:pt idx="115">
                    <c:v>₹3,725</c:v>
                  </c:pt>
                  <c:pt idx="116">
                    <c:v>₹1,572</c:v>
                  </c:pt>
                  <c:pt idx="117">
                    <c:v>₹250</c:v>
                  </c:pt>
                  <c:pt idx="118">
                    <c:v>₹250</c:v>
                  </c:pt>
                  <c:pt idx="119">
                    <c:v>₹2,371</c:v>
                  </c:pt>
                  <c:pt idx="120">
                    <c:v>₹2,630</c:v>
                  </c:pt>
                  <c:pt idx="121">
                    <c:v>₹2,164</c:v>
                  </c:pt>
                  <c:pt idx="122">
                    <c:v>₹585</c:v>
                  </c:pt>
                  <c:pt idx="123">
                    <c:v>₹2,575</c:v>
                  </c:pt>
                  <c:pt idx="124">
                    <c:v>₹687</c:v>
                  </c:pt>
                  <c:pt idx="125">
                    <c:v>₹3,457</c:v>
                  </c:pt>
                  <c:pt idx="126">
                    <c:v>₹1,415</c:v>
                  </c:pt>
                  <c:pt idx="127">
                    <c:v>₹1,078</c:v>
                  </c:pt>
                  <c:pt idx="128">
                    <c:v>₹807</c:v>
                  </c:pt>
                  <c:pt idx="129">
                    <c:v>₹4,187</c:v>
                  </c:pt>
                  <c:pt idx="130">
                    <c:v>₹250</c:v>
                  </c:pt>
                  <c:pt idx="131">
                    <c:v>₹5,124</c:v>
                  </c:pt>
                  <c:pt idx="132">
                    <c:v>₹1,920</c:v>
                  </c:pt>
                  <c:pt idx="133">
                    <c:v>₹1,512</c:v>
                  </c:pt>
                  <c:pt idx="134">
                    <c:v>₹1,635</c:v>
                  </c:pt>
                  <c:pt idx="135">
                    <c:v>₹2,704</c:v>
                  </c:pt>
                  <c:pt idx="136">
                    <c:v>₹993</c:v>
                  </c:pt>
                  <c:pt idx="137">
                    <c:v>₹1,822</c:v>
                  </c:pt>
                  <c:pt idx="138">
                    <c:v>₹1,890</c:v>
                  </c:pt>
                  <c:pt idx="139">
                    <c:v>₹560</c:v>
                  </c:pt>
                  <c:pt idx="140">
                    <c:v>₹1,239</c:v>
                  </c:pt>
                  <c:pt idx="141">
                    <c:v>₹4,159</c:v>
                  </c:pt>
                  <c:pt idx="142">
                    <c:v>₹2,988</c:v>
                  </c:pt>
                  <c:pt idx="143">
                    <c:v>₹1,597</c:v>
                  </c:pt>
                  <c:pt idx="144">
                    <c:v>₹3,575</c:v>
                  </c:pt>
                  <c:pt idx="145">
                    <c:v>₹815</c:v>
                  </c:pt>
                  <c:pt idx="146">
                    <c:v>₹1,467</c:v>
                  </c:pt>
                  <c:pt idx="147">
                    <c:v>₹496</c:v>
                  </c:pt>
                  <c:pt idx="148">
                    <c:v>₹1,500</c:v>
                  </c:pt>
                  <c:pt idx="149">
                    <c:v>₹4,431</c:v>
                  </c:pt>
                  <c:pt idx="150">
                    <c:v>₹7,526</c:v>
                  </c:pt>
                  <c:pt idx="151">
                    <c:v>₹2,282</c:v>
                  </c:pt>
                  <c:pt idx="152">
                    <c:v>₹7,260</c:v>
                  </c:pt>
                  <c:pt idx="153">
                    <c:v>₹1,730</c:v>
                  </c:pt>
                  <c:pt idx="154">
                    <c:v>₹1,582</c:v>
                  </c:pt>
                  <c:pt idx="155">
                    <c:v>₹1,211</c:v>
                  </c:pt>
                  <c:pt idx="156">
                    <c:v>₹1,048</c:v>
                  </c:pt>
                  <c:pt idx="157">
                    <c:v>₹5,437</c:v>
                  </c:pt>
                  <c:pt idx="158">
                    <c:v>₹7,512</c:v>
                  </c:pt>
                  <c:pt idx="159">
                    <c:v>₹926</c:v>
                  </c:pt>
                  <c:pt idx="160">
                    <c:v>₹580</c:v>
                  </c:pt>
                  <c:pt idx="161">
                    <c:v>₹2,004</c:v>
                  </c:pt>
                  <c:pt idx="162">
                    <c:v>₹4,431</c:v>
                  </c:pt>
                  <c:pt idx="163">
                    <c:v>₹1,367</c:v>
                  </c:pt>
                  <c:pt idx="164">
                    <c:v>₹5,168</c:v>
                  </c:pt>
                  <c:pt idx="165">
                    <c:v>₹5,513</c:v>
                  </c:pt>
                  <c:pt idx="166">
                    <c:v>₹4,882</c:v>
                  </c:pt>
                  <c:pt idx="167">
                    <c:v>₹9,536</c:v>
                  </c:pt>
                  <c:pt idx="168">
                    <c:v>₹250</c:v>
                  </c:pt>
                  <c:pt idx="169">
                    <c:v>₹895</c:v>
                  </c:pt>
                  <c:pt idx="170">
                    <c:v>₹6,432</c:v>
                  </c:pt>
                  <c:pt idx="171">
                    <c:v>₹7,450</c:v>
                  </c:pt>
                  <c:pt idx="172">
                    <c:v>₹1,002</c:v>
                  </c:pt>
                  <c:pt idx="173">
                    <c:v>₹347</c:v>
                  </c:pt>
                  <c:pt idx="174">
                    <c:v>₹807</c:v>
                  </c:pt>
                  <c:pt idx="175">
                    <c:v>₹2,150</c:v>
                  </c:pt>
                  <c:pt idx="176">
                    <c:v>₹1,966</c:v>
                  </c:pt>
                  <c:pt idx="177">
                    <c:v>₹1,201</c:v>
                  </c:pt>
                  <c:pt idx="178">
                    <c:v>₹435</c:v>
                  </c:pt>
                  <c:pt idx="179">
                    <c:v>₹1,065</c:v>
                  </c:pt>
                  <c:pt idx="180">
                    <c:v>₹929</c:v>
                  </c:pt>
                  <c:pt idx="181">
                    <c:v>₹7,851</c:v>
                  </c:pt>
                  <c:pt idx="182">
                    <c:v>₹2,403</c:v>
                  </c:pt>
                  <c:pt idx="183">
                    <c:v>₹250</c:v>
                  </c:pt>
                  <c:pt idx="184">
                    <c:v>₹425</c:v>
                  </c:pt>
                  <c:pt idx="185">
                    <c:v>₹1,120</c:v>
                  </c:pt>
                  <c:pt idx="186">
                    <c:v>₹2,483</c:v>
                  </c:pt>
                  <c:pt idx="187">
                    <c:v>₹1,202</c:v>
                  </c:pt>
                  <c:pt idx="188">
                    <c:v>₹3,047</c:v>
                  </c:pt>
                  <c:pt idx="189">
                    <c:v>₹5,003</c:v>
                  </c:pt>
                  <c:pt idx="190">
                    <c:v>₹3,077</c:v>
                  </c:pt>
                  <c:pt idx="191">
                    <c:v>₹250</c:v>
                  </c:pt>
                  <c:pt idx="192">
                    <c:v>₹1,193</c:v>
                  </c:pt>
                  <c:pt idx="193">
                    <c:v>₹1,762</c:v>
                  </c:pt>
                  <c:pt idx="194">
                    <c:v>₹4,200</c:v>
                  </c:pt>
                  <c:pt idx="195">
                    <c:v>₹858</c:v>
                  </c:pt>
                  <c:pt idx="196">
                    <c:v>₹1,787</c:v>
                  </c:pt>
                  <c:pt idx="197">
                    <c:v>₹1,759</c:v>
                  </c:pt>
                  <c:pt idx="198">
                    <c:v>₹660</c:v>
                  </c:pt>
                  <c:pt idx="199">
                    <c:v>₹2,870</c:v>
                  </c:pt>
                  <c:pt idx="200">
                    <c:v>₹5,143</c:v>
                  </c:pt>
                  <c:pt idx="201">
                    <c:v>₹1,359</c:v>
                  </c:pt>
                  <c:pt idx="202">
                    <c:v>₹1,654</c:v>
                  </c:pt>
                  <c:pt idx="203">
                    <c:v>₹1,351</c:v>
                  </c:pt>
                  <c:pt idx="204">
                    <c:v>₹3,076</c:v>
                  </c:pt>
                  <c:pt idx="205">
                    <c:v>₹4,577</c:v>
                  </c:pt>
                  <c:pt idx="206">
                    <c:v>₹882</c:v>
                  </c:pt>
                  <c:pt idx="207">
                    <c:v>₹1,615</c:v>
                  </c:pt>
                  <c:pt idx="208">
                    <c:v>₹2,629</c:v>
                  </c:pt>
                  <c:pt idx="209">
                    <c:v>₹9,762</c:v>
                  </c:pt>
                  <c:pt idx="210">
                    <c:v>₹1,317</c:v>
                  </c:pt>
                  <c:pt idx="211">
                    <c:v>₹1,099</c:v>
                  </c:pt>
                  <c:pt idx="212">
                    <c:v>₹437</c:v>
                  </c:pt>
                  <c:pt idx="213">
                    <c:v>₹1,049</c:v>
                  </c:pt>
                  <c:pt idx="214">
                    <c:v>₹1,362</c:v>
                  </c:pt>
                  <c:pt idx="215">
                    <c:v>₹2,418</c:v>
                  </c:pt>
                  <c:pt idx="216">
                    <c:v>₹2,601</c:v>
                  </c:pt>
                  <c:pt idx="217">
                    <c:v>₹2,068</c:v>
                  </c:pt>
                  <c:pt idx="218">
                    <c:v>₹2,192</c:v>
                  </c:pt>
                  <c:pt idx="219">
                    <c:v>₹858</c:v>
                  </c:pt>
                  <c:pt idx="220">
                    <c:v>₹2,444</c:v>
                  </c:pt>
                  <c:pt idx="221">
                    <c:v>₹859</c:v>
                  </c:pt>
                  <c:pt idx="222">
                    <c:v>₹747</c:v>
                  </c:pt>
                  <c:pt idx="223">
                    <c:v>₹2,307</c:v>
                  </c:pt>
                  <c:pt idx="224">
                    <c:v>₹3,314</c:v>
                  </c:pt>
                  <c:pt idx="225">
                    <c:v>₹1,469</c:v>
                  </c:pt>
                  <c:pt idx="226">
                    <c:v>₹1,533</c:v>
                  </c:pt>
                  <c:pt idx="227">
                    <c:v>₹2,983</c:v>
                  </c:pt>
                  <c:pt idx="228">
                    <c:v>₹2,346</c:v>
                  </c:pt>
                  <c:pt idx="229">
                    <c:v>₹2,910</c:v>
                  </c:pt>
                  <c:pt idx="230">
                    <c:v>₹5,136</c:v>
                  </c:pt>
                  <c:pt idx="231">
                    <c:v>₹1,694</c:v>
                  </c:pt>
                  <c:pt idx="232">
                    <c:v>₹910</c:v>
                  </c:pt>
                  <c:pt idx="233">
                    <c:v>₹2,508</c:v>
                  </c:pt>
                  <c:pt idx="234">
                    <c:v>₹941</c:v>
                  </c:pt>
                  <c:pt idx="235">
                    <c:v>₹2,934</c:v>
                  </c:pt>
                  <c:pt idx="236">
                    <c:v>₹1,353</c:v>
                  </c:pt>
                  <c:pt idx="237">
                    <c:v>₹982</c:v>
                  </c:pt>
                  <c:pt idx="238">
                    <c:v>₹360</c:v>
                  </c:pt>
                  <c:pt idx="239">
                    <c:v>₹1,020</c:v>
                  </c:pt>
                  <c:pt idx="240">
                    <c:v>₹3,633</c:v>
                  </c:pt>
                  <c:pt idx="241">
                    <c:v>₹5,466</c:v>
                  </c:pt>
                  <c:pt idx="242">
                    <c:v>₹4,094</c:v>
                  </c:pt>
                  <c:pt idx="243">
                    <c:v>₹763</c:v>
                  </c:pt>
                  <c:pt idx="244">
                    <c:v>₹1,210</c:v>
                  </c:pt>
                  <c:pt idx="245">
                    <c:v>₹3,434</c:v>
                  </c:pt>
                  <c:pt idx="246">
                    <c:v>₹2,002</c:v>
                  </c:pt>
                  <c:pt idx="247">
                    <c:v>₹2,210</c:v>
                  </c:pt>
                  <c:pt idx="248">
                    <c:v>₹1,059</c:v>
                  </c:pt>
                  <c:pt idx="249">
                    <c:v>₹1,291</c:v>
                  </c:pt>
                  <c:pt idx="250">
                    <c:v>₹1,278</c:v>
                  </c:pt>
                  <c:pt idx="251">
                    <c:v>₹250</c:v>
                  </c:pt>
                  <c:pt idx="252">
                    <c:v>₹1,943</c:v>
                  </c:pt>
                  <c:pt idx="253">
                    <c:v>₹635</c:v>
                  </c:pt>
                  <c:pt idx="254">
                    <c:v>₹2,459</c:v>
                  </c:pt>
                  <c:pt idx="255">
                    <c:v>₹1,864</c:v>
                  </c:pt>
                  <c:pt idx="256">
                    <c:v>₹834</c:v>
                  </c:pt>
                  <c:pt idx="257">
                    <c:v>₹599</c:v>
                  </c:pt>
                  <c:pt idx="258">
                    <c:v>₹2,287</c:v>
                  </c:pt>
                  <c:pt idx="259">
                    <c:v>₹1,113</c:v>
                  </c:pt>
                  <c:pt idx="260">
                    <c:v>₹840</c:v>
                  </c:pt>
                  <c:pt idx="261">
                    <c:v>₹1,456</c:v>
                  </c:pt>
                  <c:pt idx="262">
                    <c:v>₹1,509</c:v>
                  </c:pt>
                  <c:pt idx="263">
                    <c:v>₹2,310</c:v>
                  </c:pt>
                  <c:pt idx="264">
                    <c:v>₹1,328</c:v>
                  </c:pt>
                  <c:pt idx="265">
                    <c:v>₹537</c:v>
                  </c:pt>
                  <c:pt idx="266">
                    <c:v>₹950</c:v>
                  </c:pt>
                  <c:pt idx="267">
                    <c:v>₹443</c:v>
                  </c:pt>
                  <c:pt idx="268">
                    <c:v>₹2,128</c:v>
                  </c:pt>
                  <c:pt idx="269">
                    <c:v>₹1,146</c:v>
                  </c:pt>
                  <c:pt idx="270">
                    <c:v>₹1,942</c:v>
                  </c:pt>
                  <c:pt idx="271">
                    <c:v>₹1,537</c:v>
                  </c:pt>
                  <c:pt idx="272">
                    <c:v>₹1,208</c:v>
                  </c:pt>
                  <c:pt idx="273">
                    <c:v>₹5,158</c:v>
                  </c:pt>
                  <c:pt idx="274">
                    <c:v>₹2,098</c:v>
                  </c:pt>
                  <c:pt idx="275">
                    <c:v>₹2,598</c:v>
                  </c:pt>
                  <c:pt idx="276">
                    <c:v>₹1,064</c:v>
                  </c:pt>
                  <c:pt idx="277">
                    <c:v>₹1,247</c:v>
                  </c:pt>
                  <c:pt idx="278">
                    <c:v>₹793</c:v>
                  </c:pt>
                  <c:pt idx="279">
                    <c:v>₹1,099</c:v>
                  </c:pt>
                  <c:pt idx="280">
                    <c:v>₹444</c:v>
                  </c:pt>
                  <c:pt idx="281">
                    <c:v>₹1,164</c:v>
                  </c:pt>
                  <c:pt idx="282">
                    <c:v>₹618</c:v>
                  </c:pt>
                  <c:pt idx="283">
                    <c:v>₹2,692</c:v>
                  </c:pt>
                  <c:pt idx="284">
                    <c:v>₹1,298</c:v>
                  </c:pt>
                  <c:pt idx="285">
                    <c:v>₹932</c:v>
                  </c:pt>
                  <c:pt idx="286">
                    <c:v>₹5,059</c:v>
                  </c:pt>
                  <c:pt idx="287">
                    <c:v>₹1,378</c:v>
                  </c:pt>
                  <c:pt idx="288">
                    <c:v>₹699</c:v>
                  </c:pt>
                  <c:pt idx="289">
                    <c:v>₹1,459</c:v>
                  </c:pt>
                  <c:pt idx="290">
                    <c:v>₹1,929</c:v>
                  </c:pt>
                  <c:pt idx="291">
                    <c:v>₹2,552</c:v>
                  </c:pt>
                  <c:pt idx="292">
                    <c:v>₹1,184</c:v>
                  </c:pt>
                  <c:pt idx="293">
                    <c:v>₹1,796</c:v>
                  </c:pt>
                  <c:pt idx="294">
                    <c:v>₹3,895</c:v>
                  </c:pt>
                  <c:pt idx="295">
                    <c:v>₹2,892</c:v>
                  </c:pt>
                  <c:pt idx="296">
                    <c:v>₹304</c:v>
                  </c:pt>
                  <c:pt idx="297">
                    <c:v>₹2,071</c:v>
                  </c:pt>
                  <c:pt idx="298">
                    <c:v>₹4,572</c:v>
                  </c:pt>
                  <c:pt idx="299">
                    <c:v>₹1,417</c:v>
                  </c:pt>
                </c:lvl>
                <c:lvl>
                  <c:pt idx="0">
                    <c:v>35</c:v>
                  </c:pt>
                  <c:pt idx="1">
                    <c:v>55</c:v>
                  </c:pt>
                  <c:pt idx="2">
                    <c:v>40</c:v>
                  </c:pt>
                  <c:pt idx="3">
                    <c:v>22</c:v>
                  </c:pt>
                  <c:pt idx="4">
                    <c:v>35</c:v>
                  </c:pt>
                  <c:pt idx="5">
                    <c:v>21</c:v>
                  </c:pt>
                  <c:pt idx="6">
                    <c:v>34</c:v>
                  </c:pt>
                  <c:pt idx="7">
                    <c:v>25</c:v>
                  </c:pt>
                  <c:pt idx="8">
                    <c:v>52</c:v>
                  </c:pt>
                  <c:pt idx="9">
                    <c:v>37</c:v>
                  </c:pt>
                  <c:pt idx="10">
                    <c:v>41</c:v>
                  </c:pt>
                  <c:pt idx="11">
                    <c:v>28</c:v>
                  </c:pt>
                  <c:pt idx="12">
                    <c:v>51</c:v>
                  </c:pt>
                  <c:pt idx="13">
                    <c:v>33</c:v>
                  </c:pt>
                  <c:pt idx="14">
                    <c:v>47</c:v>
                  </c:pt>
                  <c:pt idx="15">
                    <c:v>22</c:v>
                  </c:pt>
                  <c:pt idx="16">
                    <c:v>31</c:v>
                  </c:pt>
                  <c:pt idx="17">
                    <c:v>31</c:v>
                  </c:pt>
                  <c:pt idx="18">
                    <c:v>29</c:v>
                  </c:pt>
                  <c:pt idx="19">
                    <c:v>31</c:v>
                  </c:pt>
                  <c:pt idx="20">
                    <c:v>52</c:v>
                  </c:pt>
                  <c:pt idx="21">
                    <c:v>24</c:v>
                  </c:pt>
                  <c:pt idx="22">
                    <c:v>21</c:v>
                  </c:pt>
                  <c:pt idx="23">
                    <c:v>20</c:v>
                  </c:pt>
                  <c:pt idx="24">
                    <c:v>24</c:v>
                  </c:pt>
                  <c:pt idx="25">
                    <c:v>44</c:v>
                  </c:pt>
                  <c:pt idx="26">
                    <c:v>32</c:v>
                  </c:pt>
                  <c:pt idx="27">
                    <c:v>29</c:v>
                  </c:pt>
                  <c:pt idx="28">
                    <c:v>20</c:v>
                  </c:pt>
                  <c:pt idx="29">
                    <c:v>43</c:v>
                  </c:pt>
                  <c:pt idx="30">
                    <c:v>31</c:v>
                  </c:pt>
                  <c:pt idx="31">
                    <c:v>39</c:v>
                  </c:pt>
                  <c:pt idx="32">
                    <c:v>54</c:v>
                  </c:pt>
                  <c:pt idx="33">
                    <c:v>21</c:v>
                  </c:pt>
                  <c:pt idx="34">
                    <c:v>53</c:v>
                  </c:pt>
                  <c:pt idx="35">
                    <c:v>35</c:v>
                  </c:pt>
                  <c:pt idx="36">
                    <c:v>44</c:v>
                  </c:pt>
                  <c:pt idx="37">
                    <c:v>32</c:v>
                  </c:pt>
                  <c:pt idx="38">
                    <c:v>19</c:v>
                  </c:pt>
                  <c:pt idx="39">
                    <c:v>44</c:v>
                  </c:pt>
                  <c:pt idx="40">
                    <c:v>30</c:v>
                  </c:pt>
                  <c:pt idx="41">
                    <c:v>55</c:v>
                  </c:pt>
                  <c:pt idx="42">
                    <c:v>25</c:v>
                  </c:pt>
                  <c:pt idx="43">
                    <c:v>47</c:v>
                  </c:pt>
                  <c:pt idx="44">
                    <c:v>33</c:v>
                  </c:pt>
                  <c:pt idx="45">
                    <c:v>35</c:v>
                  </c:pt>
                  <c:pt idx="46">
                    <c:v>36</c:v>
                  </c:pt>
                  <c:pt idx="47">
                    <c:v>25</c:v>
                  </c:pt>
                  <c:pt idx="48">
                    <c:v>30</c:v>
                  </c:pt>
                  <c:pt idx="49">
                    <c:v>36</c:v>
                  </c:pt>
                  <c:pt idx="50">
                    <c:v>21</c:v>
                  </c:pt>
                  <c:pt idx="51">
                    <c:v>55</c:v>
                  </c:pt>
                  <c:pt idx="52">
                    <c:v>22</c:v>
                  </c:pt>
                  <c:pt idx="53">
                    <c:v>30</c:v>
                  </c:pt>
                  <c:pt idx="54">
                    <c:v>47</c:v>
                  </c:pt>
                  <c:pt idx="55">
                    <c:v>19</c:v>
                  </c:pt>
                  <c:pt idx="56">
                    <c:v>48</c:v>
                  </c:pt>
                  <c:pt idx="57">
                    <c:v>38</c:v>
                  </c:pt>
                  <c:pt idx="58">
                    <c:v>46</c:v>
                  </c:pt>
                  <c:pt idx="59">
                    <c:v>53</c:v>
                  </c:pt>
                  <c:pt idx="60">
                    <c:v>48</c:v>
                  </c:pt>
                  <c:pt idx="61">
                    <c:v>18</c:v>
                  </c:pt>
                  <c:pt idx="62">
                    <c:v>30</c:v>
                  </c:pt>
                  <c:pt idx="63">
                    <c:v>50</c:v>
                  </c:pt>
                  <c:pt idx="64">
                    <c:v>34</c:v>
                  </c:pt>
                  <c:pt idx="65">
                    <c:v>33</c:v>
                  </c:pt>
                  <c:pt idx="66">
                    <c:v>20</c:v>
                  </c:pt>
                  <c:pt idx="67">
                    <c:v>55</c:v>
                  </c:pt>
                  <c:pt idx="68">
                    <c:v>40</c:v>
                  </c:pt>
                  <c:pt idx="69">
                    <c:v>43</c:v>
                  </c:pt>
                  <c:pt idx="70">
                    <c:v>30</c:v>
                  </c:pt>
                  <c:pt idx="71">
                    <c:v>44</c:v>
                  </c:pt>
                  <c:pt idx="72">
                    <c:v>25</c:v>
                  </c:pt>
                  <c:pt idx="73">
                    <c:v>42</c:v>
                  </c:pt>
                  <c:pt idx="74">
                    <c:v>37</c:v>
                  </c:pt>
                  <c:pt idx="75">
                    <c:v>27</c:v>
                  </c:pt>
                  <c:pt idx="76">
                    <c:v>40</c:v>
                  </c:pt>
                  <c:pt idx="77">
                    <c:v>53</c:v>
                  </c:pt>
                  <c:pt idx="78">
                    <c:v>29</c:v>
                  </c:pt>
                  <c:pt idx="79">
                    <c:v>46</c:v>
                  </c:pt>
                  <c:pt idx="80">
                    <c:v>19</c:v>
                  </c:pt>
                  <c:pt idx="81">
                    <c:v>38</c:v>
                  </c:pt>
                  <c:pt idx="82">
                    <c:v>46</c:v>
                  </c:pt>
                  <c:pt idx="83">
                    <c:v>23</c:v>
                  </c:pt>
                  <c:pt idx="84">
                    <c:v>45</c:v>
                  </c:pt>
                  <c:pt idx="85">
                    <c:v>35</c:v>
                  </c:pt>
                  <c:pt idx="86">
                    <c:v>37</c:v>
                  </c:pt>
                  <c:pt idx="87">
                    <c:v>28</c:v>
                  </c:pt>
                  <c:pt idx="88">
                    <c:v>46</c:v>
                  </c:pt>
                  <c:pt idx="89">
                    <c:v>32</c:v>
                  </c:pt>
                  <c:pt idx="90">
                    <c:v>26</c:v>
                  </c:pt>
                  <c:pt idx="91">
                    <c:v>54</c:v>
                  </c:pt>
                  <c:pt idx="92">
                    <c:v>24</c:v>
                  </c:pt>
                  <c:pt idx="93">
                    <c:v>40</c:v>
                  </c:pt>
                  <c:pt idx="94">
                    <c:v>55</c:v>
                  </c:pt>
                  <c:pt idx="95">
                    <c:v>50</c:v>
                  </c:pt>
                  <c:pt idx="96">
                    <c:v>47</c:v>
                  </c:pt>
                  <c:pt idx="97">
                    <c:v>29</c:v>
                  </c:pt>
                  <c:pt idx="98">
                    <c:v>39</c:v>
                  </c:pt>
                  <c:pt idx="99">
                    <c:v>23</c:v>
                  </c:pt>
                  <c:pt idx="100">
                    <c:v>41</c:v>
                  </c:pt>
                  <c:pt idx="101">
                    <c:v>39</c:v>
                  </c:pt>
                  <c:pt idx="102">
                    <c:v>33</c:v>
                  </c:pt>
                  <c:pt idx="103">
                    <c:v>42</c:v>
                  </c:pt>
                  <c:pt idx="104">
                    <c:v>51</c:v>
                  </c:pt>
                  <c:pt idx="105">
                    <c:v>50</c:v>
                  </c:pt>
                  <c:pt idx="106">
                    <c:v>48</c:v>
                  </c:pt>
                  <c:pt idx="107">
                    <c:v>36</c:v>
                  </c:pt>
                  <c:pt idx="108">
                    <c:v>33</c:v>
                  </c:pt>
                  <c:pt idx="109">
                    <c:v>50</c:v>
                  </c:pt>
                  <c:pt idx="110">
                    <c:v>55</c:v>
                  </c:pt>
                  <c:pt idx="111">
                    <c:v>47</c:v>
                  </c:pt>
                  <c:pt idx="112">
                    <c:v>30</c:v>
                  </c:pt>
                  <c:pt idx="113">
                    <c:v>51</c:v>
                  </c:pt>
                  <c:pt idx="114">
                    <c:v>45</c:v>
                  </c:pt>
                  <c:pt idx="115">
                    <c:v>50</c:v>
                  </c:pt>
                  <c:pt idx="116">
                    <c:v>27</c:v>
                  </c:pt>
                  <c:pt idx="117">
                    <c:v>51</c:v>
                  </c:pt>
                  <c:pt idx="118">
                    <c:v>22</c:v>
                  </c:pt>
                  <c:pt idx="119">
                    <c:v>41</c:v>
                  </c:pt>
                  <c:pt idx="120">
                    <c:v>23</c:v>
                  </c:pt>
                  <c:pt idx="121">
                    <c:v>53</c:v>
                  </c:pt>
                  <c:pt idx="122">
                    <c:v>32</c:v>
                  </c:pt>
                  <c:pt idx="123">
                    <c:v>28</c:v>
                  </c:pt>
                  <c:pt idx="124">
                    <c:v>54</c:v>
                  </c:pt>
                  <c:pt idx="125">
                    <c:v>48</c:v>
                  </c:pt>
                  <c:pt idx="126">
                    <c:v>38</c:v>
                  </c:pt>
                  <c:pt idx="127">
                    <c:v>28</c:v>
                  </c:pt>
                  <c:pt idx="128">
                    <c:v>21</c:v>
                  </c:pt>
                  <c:pt idx="129">
                    <c:v>54</c:v>
                  </c:pt>
                  <c:pt idx="130">
                    <c:v>43</c:v>
                  </c:pt>
                  <c:pt idx="131">
                    <c:v>50</c:v>
                  </c:pt>
                  <c:pt idx="132">
                    <c:v>54</c:v>
                  </c:pt>
                  <c:pt idx="133">
                    <c:v>55</c:v>
                  </c:pt>
                  <c:pt idx="134">
                    <c:v>25</c:v>
                  </c:pt>
                  <c:pt idx="135">
                    <c:v>31</c:v>
                  </c:pt>
                  <c:pt idx="136">
                    <c:v>48</c:v>
                  </c:pt>
                  <c:pt idx="137">
                    <c:v>35</c:v>
                  </c:pt>
                  <c:pt idx="138">
                    <c:v>46</c:v>
                  </c:pt>
                  <c:pt idx="139">
                    <c:v>24</c:v>
                  </c:pt>
                  <c:pt idx="140">
                    <c:v>36</c:v>
                  </c:pt>
                  <c:pt idx="141">
                    <c:v>36</c:v>
                  </c:pt>
                  <c:pt idx="142">
                    <c:v>30</c:v>
                  </c:pt>
                  <c:pt idx="143">
                    <c:v>45</c:v>
                  </c:pt>
                  <c:pt idx="144">
                    <c:v>35</c:v>
                  </c:pt>
                  <c:pt idx="145">
                    <c:v>25</c:v>
                  </c:pt>
                  <c:pt idx="146">
                    <c:v>31</c:v>
                  </c:pt>
                  <c:pt idx="147">
                    <c:v>27</c:v>
                  </c:pt>
                  <c:pt idx="148">
                    <c:v>44</c:v>
                  </c:pt>
                  <c:pt idx="149">
                    <c:v>48</c:v>
                  </c:pt>
                  <c:pt idx="150">
                    <c:v>52</c:v>
                  </c:pt>
                  <c:pt idx="151">
                    <c:v>52</c:v>
                  </c:pt>
                  <c:pt idx="152">
                    <c:v>31</c:v>
                  </c:pt>
                  <c:pt idx="153">
                    <c:v>32</c:v>
                  </c:pt>
                  <c:pt idx="154">
                    <c:v>53</c:v>
                  </c:pt>
                  <c:pt idx="155">
                    <c:v>42</c:v>
                  </c:pt>
                  <c:pt idx="156">
                    <c:v>26</c:v>
                  </c:pt>
                  <c:pt idx="157">
                    <c:v>22</c:v>
                  </c:pt>
                  <c:pt idx="158">
                    <c:v>48</c:v>
                  </c:pt>
                  <c:pt idx="159">
                    <c:v>47</c:v>
                  </c:pt>
                  <c:pt idx="160">
                    <c:v>55</c:v>
                  </c:pt>
                  <c:pt idx="161">
                    <c:v>28</c:v>
                  </c:pt>
                  <c:pt idx="162">
                    <c:v>21</c:v>
                  </c:pt>
                  <c:pt idx="163">
                    <c:v>18</c:v>
                  </c:pt>
                  <c:pt idx="164">
                    <c:v>51</c:v>
                  </c:pt>
                  <c:pt idx="165">
                    <c:v>20</c:v>
                  </c:pt>
                  <c:pt idx="166">
                    <c:v>20</c:v>
                  </c:pt>
                  <c:pt idx="167">
                    <c:v>55</c:v>
                  </c:pt>
                  <c:pt idx="168">
                    <c:v>23</c:v>
                  </c:pt>
                  <c:pt idx="169">
                    <c:v>46</c:v>
                  </c:pt>
                  <c:pt idx="170">
                    <c:v>35</c:v>
                  </c:pt>
                  <c:pt idx="171">
                    <c:v>45</c:v>
                  </c:pt>
                  <c:pt idx="172">
                    <c:v>42</c:v>
                  </c:pt>
                  <c:pt idx="173">
                    <c:v>37</c:v>
                  </c:pt>
                  <c:pt idx="174">
                    <c:v>39</c:v>
                  </c:pt>
                  <c:pt idx="175">
                    <c:v>42</c:v>
                  </c:pt>
                  <c:pt idx="176">
                    <c:v>36</c:v>
                  </c:pt>
                  <c:pt idx="177">
                    <c:v>52</c:v>
                  </c:pt>
                  <c:pt idx="178">
                    <c:v>20</c:v>
                  </c:pt>
                  <c:pt idx="179">
                    <c:v>46</c:v>
                  </c:pt>
                  <c:pt idx="180">
                    <c:v>37</c:v>
                  </c:pt>
                  <c:pt idx="181">
                    <c:v>28</c:v>
                  </c:pt>
                  <c:pt idx="182">
                    <c:v>19</c:v>
                  </c:pt>
                  <c:pt idx="183">
                    <c:v>38</c:v>
                  </c:pt>
                  <c:pt idx="184">
                    <c:v>47</c:v>
                  </c:pt>
                  <c:pt idx="185">
                    <c:v>26</c:v>
                  </c:pt>
                  <c:pt idx="186">
                    <c:v>38</c:v>
                  </c:pt>
                  <c:pt idx="187">
                    <c:v>28</c:v>
                  </c:pt>
                  <c:pt idx="188">
                    <c:v>50</c:v>
                  </c:pt>
                  <c:pt idx="189">
                    <c:v>34</c:v>
                  </c:pt>
                  <c:pt idx="190">
                    <c:v>26</c:v>
                  </c:pt>
                  <c:pt idx="191">
                    <c:v>44</c:v>
                  </c:pt>
                  <c:pt idx="192">
                    <c:v>35</c:v>
                  </c:pt>
                  <c:pt idx="193">
                    <c:v>40</c:v>
                  </c:pt>
                  <c:pt idx="194">
                    <c:v>39</c:v>
                  </c:pt>
                  <c:pt idx="195">
                    <c:v>37</c:v>
                  </c:pt>
                  <c:pt idx="196">
                    <c:v>23</c:v>
                  </c:pt>
                  <c:pt idx="197">
                    <c:v>22</c:v>
                  </c:pt>
                  <c:pt idx="198">
                    <c:v>51</c:v>
                  </c:pt>
                  <c:pt idx="199">
                    <c:v>42</c:v>
                  </c:pt>
                  <c:pt idx="200">
                    <c:v>37</c:v>
                  </c:pt>
                  <c:pt idx="201">
                    <c:v>26</c:v>
                  </c:pt>
                  <c:pt idx="202">
                    <c:v>20</c:v>
                  </c:pt>
                  <c:pt idx="203">
                    <c:v>23</c:v>
                  </c:pt>
                  <c:pt idx="204">
                    <c:v>33</c:v>
                  </c:pt>
                  <c:pt idx="205">
                    <c:v>49</c:v>
                  </c:pt>
                  <c:pt idx="206">
                    <c:v>45</c:v>
                  </c:pt>
                  <c:pt idx="207">
                    <c:v>25</c:v>
                  </c:pt>
                  <c:pt idx="208">
                    <c:v>38</c:v>
                  </c:pt>
                  <c:pt idx="209">
                    <c:v>36</c:v>
                  </c:pt>
                  <c:pt idx="210">
                    <c:v>30</c:v>
                  </c:pt>
                  <c:pt idx="211">
                    <c:v>37</c:v>
                  </c:pt>
                  <c:pt idx="212">
                    <c:v>41</c:v>
                  </c:pt>
                  <c:pt idx="213">
                    <c:v>38</c:v>
                  </c:pt>
                  <c:pt idx="214">
                    <c:v>38</c:v>
                  </c:pt>
                  <c:pt idx="215">
                    <c:v>38</c:v>
                  </c:pt>
                  <c:pt idx="216">
                    <c:v>53</c:v>
                  </c:pt>
                  <c:pt idx="217">
                    <c:v>22</c:v>
                  </c:pt>
                  <c:pt idx="218">
                    <c:v>45</c:v>
                  </c:pt>
                  <c:pt idx="219">
                    <c:v>36</c:v>
                  </c:pt>
                  <c:pt idx="220">
                    <c:v>19</c:v>
                  </c:pt>
                  <c:pt idx="221">
                    <c:v>48</c:v>
                  </c:pt>
                  <c:pt idx="222">
                    <c:v>42</c:v>
                  </c:pt>
                  <c:pt idx="223">
                    <c:v>49</c:v>
                  </c:pt>
                  <c:pt idx="224">
                    <c:v>29</c:v>
                  </c:pt>
                  <c:pt idx="225">
                    <c:v>24</c:v>
                  </c:pt>
                  <c:pt idx="226">
                    <c:v>40</c:v>
                  </c:pt>
                  <c:pt idx="227">
                    <c:v>38</c:v>
                  </c:pt>
                  <c:pt idx="228">
                    <c:v>39</c:v>
                  </c:pt>
                  <c:pt idx="229">
                    <c:v>52</c:v>
                  </c:pt>
                  <c:pt idx="230">
                    <c:v>34</c:v>
                  </c:pt>
                  <c:pt idx="231">
                    <c:v>45</c:v>
                  </c:pt>
                  <c:pt idx="232">
                    <c:v>21</c:v>
                  </c:pt>
                  <c:pt idx="233">
                    <c:v>36</c:v>
                  </c:pt>
                  <c:pt idx="234">
                    <c:v>41</c:v>
                  </c:pt>
                  <c:pt idx="235">
                    <c:v>55</c:v>
                  </c:pt>
                  <c:pt idx="236">
                    <c:v>43</c:v>
                  </c:pt>
                  <c:pt idx="237">
                    <c:v>20</c:v>
                  </c:pt>
                  <c:pt idx="238">
                    <c:v>43</c:v>
                  </c:pt>
                  <c:pt idx="239">
                    <c:v>24</c:v>
                  </c:pt>
                  <c:pt idx="240">
                    <c:v>43</c:v>
                  </c:pt>
                  <c:pt idx="241">
                    <c:v>32</c:v>
                  </c:pt>
                  <c:pt idx="242">
                    <c:v>51</c:v>
                  </c:pt>
                  <c:pt idx="243">
                    <c:v>20</c:v>
                  </c:pt>
                  <c:pt idx="244">
                    <c:v>46</c:v>
                  </c:pt>
                  <c:pt idx="245">
                    <c:v>32</c:v>
                  </c:pt>
                  <c:pt idx="246">
                    <c:v>18</c:v>
                  </c:pt>
                  <c:pt idx="247">
                    <c:v>18</c:v>
                  </c:pt>
                  <c:pt idx="248">
                    <c:v>37</c:v>
                  </c:pt>
                  <c:pt idx="249">
                    <c:v>43</c:v>
                  </c:pt>
                  <c:pt idx="250">
                    <c:v>37</c:v>
                  </c:pt>
                  <c:pt idx="251">
                    <c:v>40</c:v>
                  </c:pt>
                  <c:pt idx="252">
                    <c:v>48</c:v>
                  </c:pt>
                  <c:pt idx="253">
                    <c:v>29</c:v>
                  </c:pt>
                  <c:pt idx="254">
                    <c:v>23</c:v>
                  </c:pt>
                  <c:pt idx="255">
                    <c:v>19</c:v>
                  </c:pt>
                  <c:pt idx="256">
                    <c:v>47</c:v>
                  </c:pt>
                  <c:pt idx="257">
                    <c:v>26</c:v>
                  </c:pt>
                  <c:pt idx="258">
                    <c:v>21</c:v>
                  </c:pt>
                  <c:pt idx="259">
                    <c:v>24</c:v>
                  </c:pt>
                  <c:pt idx="260">
                    <c:v>30</c:v>
                  </c:pt>
                  <c:pt idx="261">
                    <c:v>23</c:v>
                  </c:pt>
                  <c:pt idx="262">
                    <c:v>47</c:v>
                  </c:pt>
                  <c:pt idx="263">
                    <c:v>40</c:v>
                  </c:pt>
                  <c:pt idx="264">
                    <c:v>44</c:v>
                  </c:pt>
                  <c:pt idx="265">
                    <c:v>40</c:v>
                  </c:pt>
                  <c:pt idx="266">
                    <c:v>51</c:v>
                  </c:pt>
                  <c:pt idx="267">
                    <c:v>42</c:v>
                  </c:pt>
                  <c:pt idx="268">
                    <c:v>33</c:v>
                  </c:pt>
                  <c:pt idx="269">
                    <c:v>49</c:v>
                  </c:pt>
                  <c:pt idx="270">
                    <c:v>47</c:v>
                  </c:pt>
                  <c:pt idx="271">
                    <c:v>39</c:v>
                  </c:pt>
                  <c:pt idx="272">
                    <c:v>30</c:v>
                  </c:pt>
                  <c:pt idx="273">
                    <c:v>55</c:v>
                  </c:pt>
                  <c:pt idx="274">
                    <c:v>26</c:v>
                  </c:pt>
                  <c:pt idx="275">
                    <c:v>44</c:v>
                  </c:pt>
                  <c:pt idx="276">
                    <c:v>40</c:v>
                  </c:pt>
                  <c:pt idx="277">
                    <c:v>45</c:v>
                  </c:pt>
                  <c:pt idx="278">
                    <c:v>21</c:v>
                  </c:pt>
                  <c:pt idx="279">
                    <c:v>36</c:v>
                  </c:pt>
                  <c:pt idx="280">
                    <c:v>55</c:v>
                  </c:pt>
                  <c:pt idx="281">
                    <c:v>26</c:v>
                  </c:pt>
                  <c:pt idx="282">
                    <c:v>37</c:v>
                  </c:pt>
                  <c:pt idx="283">
                    <c:v>40</c:v>
                  </c:pt>
                  <c:pt idx="284">
                    <c:v>33</c:v>
                  </c:pt>
                  <c:pt idx="285">
                    <c:v>41</c:v>
                  </c:pt>
                  <c:pt idx="286">
                    <c:v>22</c:v>
                  </c:pt>
                  <c:pt idx="287">
                    <c:v>23</c:v>
                  </c:pt>
                  <c:pt idx="288">
                    <c:v>42</c:v>
                  </c:pt>
                  <c:pt idx="289">
                    <c:v>46</c:v>
                  </c:pt>
                  <c:pt idx="290">
                    <c:v>41</c:v>
                  </c:pt>
                  <c:pt idx="291">
                    <c:v>50</c:v>
                  </c:pt>
                  <c:pt idx="292">
                    <c:v>36</c:v>
                  </c:pt>
                  <c:pt idx="293">
                    <c:v>39</c:v>
                  </c:pt>
                  <c:pt idx="294">
                    <c:v>41</c:v>
                  </c:pt>
                  <c:pt idx="295">
                    <c:v>22</c:v>
                  </c:pt>
                  <c:pt idx="296">
                    <c:v>52</c:v>
                  </c:pt>
                  <c:pt idx="297">
                    <c:v>28</c:v>
                  </c:pt>
                  <c:pt idx="298">
                    <c:v>41</c:v>
                  </c:pt>
                  <c:pt idx="299">
                    <c:v>52</c:v>
                  </c:pt>
                </c:lvl>
                <c:lvl>
                  <c:pt idx="0">
                    <c:v>Bengaluru</c:v>
                  </c:pt>
                  <c:pt idx="1">
                    <c:v>Hyderabad</c:v>
                  </c:pt>
                  <c:pt idx="2">
                    <c:v>Delhi</c:v>
                  </c:pt>
                  <c:pt idx="3">
                    <c:v>Pune</c:v>
                  </c:pt>
                  <c:pt idx="4">
                    <c:v>Mumbai</c:v>
                  </c:pt>
                  <c:pt idx="5">
                    <c:v>Kolkata</c:v>
                  </c:pt>
                  <c:pt idx="6">
                    <c:v>Mumbai</c:v>
                  </c:pt>
                  <c:pt idx="7">
                    <c:v>Kolkata</c:v>
                  </c:pt>
                  <c:pt idx="8">
                    <c:v>Pune</c:v>
                  </c:pt>
                  <c:pt idx="9">
                    <c:v>Kolkata</c:v>
                  </c:pt>
                  <c:pt idx="10">
                    <c:v>Bengaluru</c:v>
                  </c:pt>
                  <c:pt idx="11">
                    <c:v>Chennai</c:v>
                  </c:pt>
                  <c:pt idx="12">
                    <c:v>Hyderabad</c:v>
                  </c:pt>
                  <c:pt idx="13">
                    <c:v>Chennai</c:v>
                  </c:pt>
                  <c:pt idx="14">
                    <c:v>Hyderabad</c:v>
                  </c:pt>
                  <c:pt idx="15">
                    <c:v>Kolkata</c:v>
                  </c:pt>
                  <c:pt idx="16">
                    <c:v>Hyderabad</c:v>
                  </c:pt>
                  <c:pt idx="17">
                    <c:v>Delhi</c:v>
                  </c:pt>
                  <c:pt idx="18">
                    <c:v>Bengaluru</c:v>
                  </c:pt>
                  <c:pt idx="19">
                    <c:v>Delhi</c:v>
                  </c:pt>
                  <c:pt idx="20">
                    <c:v>Bengaluru</c:v>
                  </c:pt>
                  <c:pt idx="21">
                    <c:v>Delhi</c:v>
                  </c:pt>
                  <c:pt idx="22">
                    <c:v>Delhi</c:v>
                  </c:pt>
                  <c:pt idx="23">
                    <c:v>Chennai</c:v>
                  </c:pt>
                  <c:pt idx="24">
                    <c:v>Pune</c:v>
                  </c:pt>
                  <c:pt idx="25">
                    <c:v>Kolkata</c:v>
                  </c:pt>
                  <c:pt idx="26">
                    <c:v>Kolkata</c:v>
                  </c:pt>
                  <c:pt idx="27">
                    <c:v>Delhi</c:v>
                  </c:pt>
                  <c:pt idx="28">
                    <c:v>Delhi</c:v>
                  </c:pt>
                  <c:pt idx="29">
                    <c:v>Delhi</c:v>
                  </c:pt>
                  <c:pt idx="30">
                    <c:v>Delhi</c:v>
                  </c:pt>
                  <c:pt idx="31">
                    <c:v>Pune</c:v>
                  </c:pt>
                  <c:pt idx="32">
                    <c:v>Pune</c:v>
                  </c:pt>
                  <c:pt idx="33">
                    <c:v>Hyderabad</c:v>
                  </c:pt>
                  <c:pt idx="34">
                    <c:v>Hyderabad</c:v>
                  </c:pt>
                  <c:pt idx="35">
                    <c:v>Mumbai</c:v>
                  </c:pt>
                  <c:pt idx="36">
                    <c:v>Hyderabad</c:v>
                  </c:pt>
                  <c:pt idx="37">
                    <c:v>Kolkata</c:v>
                  </c:pt>
                  <c:pt idx="38">
                    <c:v>Chennai</c:v>
                  </c:pt>
                  <c:pt idx="39">
                    <c:v>Delhi</c:v>
                  </c:pt>
                  <c:pt idx="40">
                    <c:v>Mumbai</c:v>
                  </c:pt>
                  <c:pt idx="41">
                    <c:v>Bengaluru</c:v>
                  </c:pt>
                  <c:pt idx="42">
                    <c:v>Kolkata</c:v>
                  </c:pt>
                  <c:pt idx="43">
                    <c:v>Pune</c:v>
                  </c:pt>
                  <c:pt idx="44">
                    <c:v>Kolkata</c:v>
                  </c:pt>
                  <c:pt idx="45">
                    <c:v>Delhi</c:v>
                  </c:pt>
                  <c:pt idx="46">
                    <c:v>Bengaluru</c:v>
                  </c:pt>
                  <c:pt idx="47">
                    <c:v>Mumbai</c:v>
                  </c:pt>
                  <c:pt idx="48">
                    <c:v>Bengaluru</c:v>
                  </c:pt>
                  <c:pt idx="49">
                    <c:v>Chennai</c:v>
                  </c:pt>
                  <c:pt idx="50">
                    <c:v>Pune</c:v>
                  </c:pt>
                  <c:pt idx="51">
                    <c:v>Kolkata</c:v>
                  </c:pt>
                  <c:pt idx="52">
                    <c:v>Chennai</c:v>
                  </c:pt>
                  <c:pt idx="53">
                    <c:v>Pune</c:v>
                  </c:pt>
                  <c:pt idx="54">
                    <c:v>Bengaluru</c:v>
                  </c:pt>
                  <c:pt idx="55">
                    <c:v>Chennai</c:v>
                  </c:pt>
                  <c:pt idx="56">
                    <c:v>Bengaluru</c:v>
                  </c:pt>
                  <c:pt idx="57">
                    <c:v>Delhi</c:v>
                  </c:pt>
                  <c:pt idx="58">
                    <c:v>Pune</c:v>
                  </c:pt>
                  <c:pt idx="59">
                    <c:v>Bengaluru</c:v>
                  </c:pt>
                  <c:pt idx="60">
                    <c:v>Hyderabad</c:v>
                  </c:pt>
                  <c:pt idx="61">
                    <c:v>Delhi</c:v>
                  </c:pt>
                  <c:pt idx="62">
                    <c:v>Delhi</c:v>
                  </c:pt>
                  <c:pt idx="63">
                    <c:v>Mumbai</c:v>
                  </c:pt>
                  <c:pt idx="64">
                    <c:v>Kolkata</c:v>
                  </c:pt>
                  <c:pt idx="65">
                    <c:v>Bengaluru</c:v>
                  </c:pt>
                  <c:pt idx="66">
                    <c:v>Bengaluru</c:v>
                  </c:pt>
                  <c:pt idx="67">
                    <c:v>Hyderabad</c:v>
                  </c:pt>
                  <c:pt idx="68">
                    <c:v>Hyderabad</c:v>
                  </c:pt>
                  <c:pt idx="69">
                    <c:v>Bengaluru</c:v>
                  </c:pt>
                  <c:pt idx="70">
                    <c:v>Mumbai</c:v>
                  </c:pt>
                  <c:pt idx="71">
                    <c:v>Pune</c:v>
                  </c:pt>
                  <c:pt idx="72">
                    <c:v>Kolkata</c:v>
                  </c:pt>
                  <c:pt idx="73">
                    <c:v>Chennai</c:v>
                  </c:pt>
                  <c:pt idx="74">
                    <c:v>Pune</c:v>
                  </c:pt>
                  <c:pt idx="75">
                    <c:v>Pune</c:v>
                  </c:pt>
                  <c:pt idx="76">
                    <c:v>Chennai</c:v>
                  </c:pt>
                  <c:pt idx="77">
                    <c:v>Kolkata</c:v>
                  </c:pt>
                  <c:pt idx="78">
                    <c:v>Delhi</c:v>
                  </c:pt>
                  <c:pt idx="79">
                    <c:v>Hyderabad</c:v>
                  </c:pt>
                  <c:pt idx="80">
                    <c:v>Pune</c:v>
                  </c:pt>
                  <c:pt idx="81">
                    <c:v>Chennai</c:v>
                  </c:pt>
                  <c:pt idx="82">
                    <c:v>Hyderabad</c:v>
                  </c:pt>
                  <c:pt idx="83">
                    <c:v>Kolkata</c:v>
                  </c:pt>
                  <c:pt idx="84">
                    <c:v>Kolkata</c:v>
                  </c:pt>
                  <c:pt idx="85">
                    <c:v>Kolkata</c:v>
                  </c:pt>
                  <c:pt idx="86">
                    <c:v>Delhi</c:v>
                  </c:pt>
                  <c:pt idx="87">
                    <c:v>Delhi</c:v>
                  </c:pt>
                  <c:pt idx="88">
                    <c:v>Delhi</c:v>
                  </c:pt>
                  <c:pt idx="89">
                    <c:v>Bengaluru</c:v>
                  </c:pt>
                  <c:pt idx="90">
                    <c:v>Mumbai</c:v>
                  </c:pt>
                  <c:pt idx="91">
                    <c:v>Hyderabad</c:v>
                  </c:pt>
                  <c:pt idx="92">
                    <c:v>Kolkata</c:v>
                  </c:pt>
                  <c:pt idx="93">
                    <c:v>Kolkata</c:v>
                  </c:pt>
                  <c:pt idx="94">
                    <c:v>Kolkata</c:v>
                  </c:pt>
                  <c:pt idx="95">
                    <c:v>Delhi</c:v>
                  </c:pt>
                  <c:pt idx="96">
                    <c:v>Hyderabad</c:v>
                  </c:pt>
                  <c:pt idx="97">
                    <c:v>Chennai</c:v>
                  </c:pt>
                  <c:pt idx="98">
                    <c:v>Bengaluru</c:v>
                  </c:pt>
                  <c:pt idx="99">
                    <c:v>Mumbai</c:v>
                  </c:pt>
                  <c:pt idx="100">
                    <c:v>Chennai</c:v>
                  </c:pt>
                  <c:pt idx="101">
                    <c:v>Bengaluru</c:v>
                  </c:pt>
                  <c:pt idx="102">
                    <c:v>Delhi</c:v>
                  </c:pt>
                  <c:pt idx="103">
                    <c:v>Kolkata</c:v>
                  </c:pt>
                  <c:pt idx="104">
                    <c:v>Pune</c:v>
                  </c:pt>
                  <c:pt idx="105">
                    <c:v>Hyderabad</c:v>
                  </c:pt>
                  <c:pt idx="106">
                    <c:v>Delhi</c:v>
                  </c:pt>
                  <c:pt idx="107">
                    <c:v>Bengaluru</c:v>
                  </c:pt>
                  <c:pt idx="108">
                    <c:v>Chennai</c:v>
                  </c:pt>
                  <c:pt idx="109">
                    <c:v>Kolkata</c:v>
                  </c:pt>
                  <c:pt idx="110">
                    <c:v>Kolkata</c:v>
                  </c:pt>
                  <c:pt idx="111">
                    <c:v>Pune</c:v>
                  </c:pt>
                  <c:pt idx="112">
                    <c:v>Kolkata</c:v>
                  </c:pt>
                  <c:pt idx="113">
                    <c:v>Delhi</c:v>
                  </c:pt>
                  <c:pt idx="114">
                    <c:v>Pune</c:v>
                  </c:pt>
                  <c:pt idx="115">
                    <c:v>Delhi</c:v>
                  </c:pt>
                  <c:pt idx="116">
                    <c:v>Chennai</c:v>
                  </c:pt>
                  <c:pt idx="117">
                    <c:v>Hyderabad</c:v>
                  </c:pt>
                  <c:pt idx="118">
                    <c:v>Kolkata</c:v>
                  </c:pt>
                  <c:pt idx="119">
                    <c:v>Kolkata</c:v>
                  </c:pt>
                  <c:pt idx="120">
                    <c:v>Chennai</c:v>
                  </c:pt>
                  <c:pt idx="121">
                    <c:v>Kolkata</c:v>
                  </c:pt>
                  <c:pt idx="122">
                    <c:v>Delhi</c:v>
                  </c:pt>
                  <c:pt idx="123">
                    <c:v>Mumbai</c:v>
                  </c:pt>
                  <c:pt idx="124">
                    <c:v>Kolkata</c:v>
                  </c:pt>
                  <c:pt idx="125">
                    <c:v>Hyderabad</c:v>
                  </c:pt>
                  <c:pt idx="126">
                    <c:v>Bengaluru</c:v>
                  </c:pt>
                  <c:pt idx="127">
                    <c:v>Mumbai</c:v>
                  </c:pt>
                  <c:pt idx="128">
                    <c:v>Bengaluru</c:v>
                  </c:pt>
                  <c:pt idx="129">
                    <c:v>Bengaluru</c:v>
                  </c:pt>
                  <c:pt idx="130">
                    <c:v>Bengaluru</c:v>
                  </c:pt>
                  <c:pt idx="131">
                    <c:v>Mumbai</c:v>
                  </c:pt>
                  <c:pt idx="132">
                    <c:v>Pune</c:v>
                  </c:pt>
                  <c:pt idx="133">
                    <c:v>Pune</c:v>
                  </c:pt>
                  <c:pt idx="134">
                    <c:v>Pune</c:v>
                  </c:pt>
                  <c:pt idx="135">
                    <c:v>Chennai</c:v>
                  </c:pt>
                  <c:pt idx="136">
                    <c:v>Chennai</c:v>
                  </c:pt>
                  <c:pt idx="137">
                    <c:v>Kolkata</c:v>
                  </c:pt>
                  <c:pt idx="138">
                    <c:v>Delhi</c:v>
                  </c:pt>
                  <c:pt idx="139">
                    <c:v>Bengaluru</c:v>
                  </c:pt>
                  <c:pt idx="140">
                    <c:v>Kolkata</c:v>
                  </c:pt>
                  <c:pt idx="141">
                    <c:v>Mumbai</c:v>
                  </c:pt>
                  <c:pt idx="142">
                    <c:v>Delhi</c:v>
                  </c:pt>
                  <c:pt idx="143">
                    <c:v>Kolkata</c:v>
                  </c:pt>
                  <c:pt idx="144">
                    <c:v>Kolkata</c:v>
                  </c:pt>
                  <c:pt idx="145">
                    <c:v>Pune</c:v>
                  </c:pt>
                  <c:pt idx="146">
                    <c:v>Kolkata</c:v>
                  </c:pt>
                  <c:pt idx="147">
                    <c:v>Chennai</c:v>
                  </c:pt>
                  <c:pt idx="148">
                    <c:v>Chennai</c:v>
                  </c:pt>
                  <c:pt idx="149">
                    <c:v>Bengaluru</c:v>
                  </c:pt>
                  <c:pt idx="150">
                    <c:v>Pune</c:v>
                  </c:pt>
                  <c:pt idx="151">
                    <c:v>Hyderabad</c:v>
                  </c:pt>
                  <c:pt idx="152">
                    <c:v>Mumbai</c:v>
                  </c:pt>
                  <c:pt idx="153">
                    <c:v>Delhi</c:v>
                  </c:pt>
                  <c:pt idx="154">
                    <c:v>Bengaluru</c:v>
                  </c:pt>
                  <c:pt idx="155">
                    <c:v>Delhi</c:v>
                  </c:pt>
                  <c:pt idx="156">
                    <c:v>Chennai</c:v>
                  </c:pt>
                  <c:pt idx="157">
                    <c:v>Kolkata</c:v>
                  </c:pt>
                  <c:pt idx="158">
                    <c:v>Pune</c:v>
                  </c:pt>
                  <c:pt idx="159">
                    <c:v>Hyderabad</c:v>
                  </c:pt>
                  <c:pt idx="160">
                    <c:v>Chennai</c:v>
                  </c:pt>
                  <c:pt idx="161">
                    <c:v>Hyderabad</c:v>
                  </c:pt>
                  <c:pt idx="162">
                    <c:v>Kolkata</c:v>
                  </c:pt>
                  <c:pt idx="163">
                    <c:v>Bengaluru</c:v>
                  </c:pt>
                  <c:pt idx="164">
                    <c:v>Bengaluru</c:v>
                  </c:pt>
                  <c:pt idx="165">
                    <c:v>Pune</c:v>
                  </c:pt>
                  <c:pt idx="166">
                    <c:v>Chennai</c:v>
                  </c:pt>
                  <c:pt idx="167">
                    <c:v>Mumbai</c:v>
                  </c:pt>
                  <c:pt idx="168">
                    <c:v>Kolkata</c:v>
                  </c:pt>
                  <c:pt idx="169">
                    <c:v>Kolkata</c:v>
                  </c:pt>
                  <c:pt idx="170">
                    <c:v>Bengaluru</c:v>
                  </c:pt>
                  <c:pt idx="171">
                    <c:v>Mumbai</c:v>
                  </c:pt>
                  <c:pt idx="172">
                    <c:v>Hyderabad</c:v>
                  </c:pt>
                  <c:pt idx="173">
                    <c:v>Hyderabad</c:v>
                  </c:pt>
                  <c:pt idx="174">
                    <c:v>Hyderabad</c:v>
                  </c:pt>
                  <c:pt idx="175">
                    <c:v>Delhi</c:v>
                  </c:pt>
                  <c:pt idx="176">
                    <c:v>Hyderabad</c:v>
                  </c:pt>
                  <c:pt idx="177">
                    <c:v>Hyderabad</c:v>
                  </c:pt>
                  <c:pt idx="178">
                    <c:v>Mumbai</c:v>
                  </c:pt>
                  <c:pt idx="179">
                    <c:v>Mumbai</c:v>
                  </c:pt>
                  <c:pt idx="180">
                    <c:v>Delhi</c:v>
                  </c:pt>
                  <c:pt idx="181">
                    <c:v>Pune</c:v>
                  </c:pt>
                  <c:pt idx="182">
                    <c:v>Hyderabad</c:v>
                  </c:pt>
                  <c:pt idx="183">
                    <c:v>Delhi</c:v>
                  </c:pt>
                  <c:pt idx="184">
                    <c:v>Delhi</c:v>
                  </c:pt>
                  <c:pt idx="185">
                    <c:v>Hyderabad</c:v>
                  </c:pt>
                  <c:pt idx="186">
                    <c:v>Mumbai</c:v>
                  </c:pt>
                  <c:pt idx="187">
                    <c:v>Hyderabad</c:v>
                  </c:pt>
                  <c:pt idx="188">
                    <c:v>Chennai</c:v>
                  </c:pt>
                  <c:pt idx="189">
                    <c:v>Hyderabad</c:v>
                  </c:pt>
                  <c:pt idx="190">
                    <c:v>Mumbai</c:v>
                  </c:pt>
                  <c:pt idx="191">
                    <c:v>Mumbai</c:v>
                  </c:pt>
                  <c:pt idx="192">
                    <c:v>Chennai</c:v>
                  </c:pt>
                  <c:pt idx="193">
                    <c:v>Pune</c:v>
                  </c:pt>
                  <c:pt idx="194">
                    <c:v>Kolkata</c:v>
                  </c:pt>
                  <c:pt idx="195">
                    <c:v>Pune</c:v>
                  </c:pt>
                  <c:pt idx="196">
                    <c:v>Hyderabad</c:v>
                  </c:pt>
                  <c:pt idx="197">
                    <c:v>Hyderabad</c:v>
                  </c:pt>
                  <c:pt idx="198">
                    <c:v>Bengaluru</c:v>
                  </c:pt>
                  <c:pt idx="199">
                    <c:v>Chennai</c:v>
                  </c:pt>
                  <c:pt idx="200">
                    <c:v>Kolkata</c:v>
                  </c:pt>
                  <c:pt idx="201">
                    <c:v>Delhi</c:v>
                  </c:pt>
                  <c:pt idx="202">
                    <c:v>Mumbai</c:v>
                  </c:pt>
                  <c:pt idx="203">
                    <c:v>Delhi</c:v>
                  </c:pt>
                  <c:pt idx="204">
                    <c:v>Pune</c:v>
                  </c:pt>
                  <c:pt idx="205">
                    <c:v>Mumbai</c:v>
                  </c:pt>
                  <c:pt idx="206">
                    <c:v>Kolkata</c:v>
                  </c:pt>
                  <c:pt idx="207">
                    <c:v>Pune</c:v>
                  </c:pt>
                  <c:pt idx="208">
                    <c:v>Mumbai</c:v>
                  </c:pt>
                  <c:pt idx="209">
                    <c:v>Hyderabad</c:v>
                  </c:pt>
                  <c:pt idx="210">
                    <c:v>Hyderabad</c:v>
                  </c:pt>
                  <c:pt idx="211">
                    <c:v>Kolkata</c:v>
                  </c:pt>
                  <c:pt idx="212">
                    <c:v>Hyderabad</c:v>
                  </c:pt>
                  <c:pt idx="213">
                    <c:v>Kolkata</c:v>
                  </c:pt>
                  <c:pt idx="214">
                    <c:v>Hyderabad</c:v>
                  </c:pt>
                  <c:pt idx="215">
                    <c:v>Kolkata</c:v>
                  </c:pt>
                  <c:pt idx="216">
                    <c:v>Chennai</c:v>
                  </c:pt>
                  <c:pt idx="217">
                    <c:v>Delhi</c:v>
                  </c:pt>
                  <c:pt idx="218">
                    <c:v>Chennai</c:v>
                  </c:pt>
                  <c:pt idx="219">
                    <c:v>Mumbai</c:v>
                  </c:pt>
                  <c:pt idx="220">
                    <c:v>Kolkata</c:v>
                  </c:pt>
                  <c:pt idx="221">
                    <c:v>Bengaluru</c:v>
                  </c:pt>
                  <c:pt idx="222">
                    <c:v>Chennai</c:v>
                  </c:pt>
                  <c:pt idx="223">
                    <c:v>Mumbai</c:v>
                  </c:pt>
                  <c:pt idx="224">
                    <c:v>Delhi</c:v>
                  </c:pt>
                  <c:pt idx="225">
                    <c:v>Chennai</c:v>
                  </c:pt>
                  <c:pt idx="226">
                    <c:v>Kolkata</c:v>
                  </c:pt>
                  <c:pt idx="227">
                    <c:v>Chennai</c:v>
                  </c:pt>
                  <c:pt idx="228">
                    <c:v>Kolkata</c:v>
                  </c:pt>
                  <c:pt idx="229">
                    <c:v>Delhi</c:v>
                  </c:pt>
                  <c:pt idx="230">
                    <c:v>Delhi</c:v>
                  </c:pt>
                  <c:pt idx="231">
                    <c:v>Chennai</c:v>
                  </c:pt>
                  <c:pt idx="232">
                    <c:v>Bengaluru</c:v>
                  </c:pt>
                  <c:pt idx="233">
                    <c:v>Pune</c:v>
                  </c:pt>
                  <c:pt idx="234">
                    <c:v>Hyderabad</c:v>
                  </c:pt>
                  <c:pt idx="235">
                    <c:v>Kolkata</c:v>
                  </c:pt>
                  <c:pt idx="236">
                    <c:v>Bengaluru</c:v>
                  </c:pt>
                  <c:pt idx="237">
                    <c:v>Mumbai</c:v>
                  </c:pt>
                  <c:pt idx="238">
                    <c:v>Chennai</c:v>
                  </c:pt>
                  <c:pt idx="239">
                    <c:v>Kolkata</c:v>
                  </c:pt>
                  <c:pt idx="240">
                    <c:v>Chennai</c:v>
                  </c:pt>
                  <c:pt idx="241">
                    <c:v>Kolkata</c:v>
                  </c:pt>
                  <c:pt idx="242">
                    <c:v>Kolkata</c:v>
                  </c:pt>
                  <c:pt idx="243">
                    <c:v>Mumbai</c:v>
                  </c:pt>
                  <c:pt idx="244">
                    <c:v>Hyderabad</c:v>
                  </c:pt>
                  <c:pt idx="245">
                    <c:v>Kolkata</c:v>
                  </c:pt>
                  <c:pt idx="246">
                    <c:v>Chennai</c:v>
                  </c:pt>
                  <c:pt idx="247">
                    <c:v>Bengaluru</c:v>
                  </c:pt>
                  <c:pt idx="248">
                    <c:v>Pune</c:v>
                  </c:pt>
                  <c:pt idx="249">
                    <c:v>Hyderabad</c:v>
                  </c:pt>
                  <c:pt idx="250">
                    <c:v>Chennai</c:v>
                  </c:pt>
                  <c:pt idx="251">
                    <c:v>Mumbai</c:v>
                  </c:pt>
                  <c:pt idx="252">
                    <c:v>Bengaluru</c:v>
                  </c:pt>
                  <c:pt idx="253">
                    <c:v>Kolkata</c:v>
                  </c:pt>
                  <c:pt idx="254">
                    <c:v>Hyderabad</c:v>
                  </c:pt>
                  <c:pt idx="255">
                    <c:v>Mumbai</c:v>
                  </c:pt>
                  <c:pt idx="256">
                    <c:v>Delhi</c:v>
                  </c:pt>
                  <c:pt idx="257">
                    <c:v>Mumbai</c:v>
                  </c:pt>
                  <c:pt idx="258">
                    <c:v>Chennai</c:v>
                  </c:pt>
                  <c:pt idx="259">
                    <c:v>Pune</c:v>
                  </c:pt>
                  <c:pt idx="260">
                    <c:v>Hyderabad</c:v>
                  </c:pt>
                  <c:pt idx="261">
                    <c:v>Bengaluru</c:v>
                  </c:pt>
                  <c:pt idx="262">
                    <c:v>Delhi</c:v>
                  </c:pt>
                  <c:pt idx="263">
                    <c:v>Delhi</c:v>
                  </c:pt>
                  <c:pt idx="264">
                    <c:v>Kolkata</c:v>
                  </c:pt>
                  <c:pt idx="265">
                    <c:v>Hyderabad</c:v>
                  </c:pt>
                  <c:pt idx="266">
                    <c:v>Bengaluru</c:v>
                  </c:pt>
                  <c:pt idx="267">
                    <c:v>Pune</c:v>
                  </c:pt>
                  <c:pt idx="268">
                    <c:v>Delhi</c:v>
                  </c:pt>
                  <c:pt idx="269">
                    <c:v>Bengaluru</c:v>
                  </c:pt>
                  <c:pt idx="270">
                    <c:v>Mumbai</c:v>
                  </c:pt>
                  <c:pt idx="271">
                    <c:v>Bengaluru</c:v>
                  </c:pt>
                  <c:pt idx="272">
                    <c:v>Chennai</c:v>
                  </c:pt>
                  <c:pt idx="273">
                    <c:v>Hyderabad</c:v>
                  </c:pt>
                  <c:pt idx="274">
                    <c:v>Mumbai</c:v>
                  </c:pt>
                  <c:pt idx="275">
                    <c:v>Mumbai</c:v>
                  </c:pt>
                  <c:pt idx="276">
                    <c:v>Pune</c:v>
                  </c:pt>
                  <c:pt idx="277">
                    <c:v>Delhi</c:v>
                  </c:pt>
                  <c:pt idx="278">
                    <c:v>Mumbai</c:v>
                  </c:pt>
                  <c:pt idx="279">
                    <c:v>Chennai</c:v>
                  </c:pt>
                  <c:pt idx="280">
                    <c:v>Kolkata</c:v>
                  </c:pt>
                  <c:pt idx="281">
                    <c:v>Delhi</c:v>
                  </c:pt>
                  <c:pt idx="282">
                    <c:v>Kolkata</c:v>
                  </c:pt>
                  <c:pt idx="283">
                    <c:v>Bengaluru</c:v>
                  </c:pt>
                  <c:pt idx="284">
                    <c:v>Hyderabad</c:v>
                  </c:pt>
                  <c:pt idx="285">
                    <c:v>Kolkata</c:v>
                  </c:pt>
                  <c:pt idx="286">
                    <c:v>Pune</c:v>
                  </c:pt>
                  <c:pt idx="287">
                    <c:v>Bengaluru</c:v>
                  </c:pt>
                  <c:pt idx="288">
                    <c:v>Bengaluru</c:v>
                  </c:pt>
                  <c:pt idx="289">
                    <c:v>Delhi</c:v>
                  </c:pt>
                  <c:pt idx="290">
                    <c:v>Delhi</c:v>
                  </c:pt>
                  <c:pt idx="291">
                    <c:v>Pune</c:v>
                  </c:pt>
                  <c:pt idx="292">
                    <c:v>Bengaluru</c:v>
                  </c:pt>
                  <c:pt idx="293">
                    <c:v>Hyderabad</c:v>
                  </c:pt>
                  <c:pt idx="294">
                    <c:v>Delhi</c:v>
                  </c:pt>
                  <c:pt idx="295">
                    <c:v>Delhi</c:v>
                  </c:pt>
                  <c:pt idx="296">
                    <c:v>Chennai</c:v>
                  </c:pt>
                  <c:pt idx="297">
                    <c:v>Kolkata</c:v>
                  </c:pt>
                  <c:pt idx="298">
                    <c:v>Delhi</c:v>
                  </c:pt>
                  <c:pt idx="299">
                    <c:v>Chennai</c:v>
                  </c:pt>
                </c:lvl>
                <c:lvl>
                  <c:pt idx="0">
                    <c:v>Electronics</c:v>
                  </c:pt>
                  <c:pt idx="1">
                    <c:v>Fashion</c:v>
                  </c:pt>
                  <c:pt idx="2">
                    <c:v>Electronics</c:v>
                  </c:pt>
                  <c:pt idx="3">
                    <c:v>Fashion</c:v>
                  </c:pt>
                  <c:pt idx="4">
                    <c:v>Grocery</c:v>
                  </c:pt>
                  <c:pt idx="5">
                    <c:v>Grocery</c:v>
                  </c:pt>
                  <c:pt idx="6">
                    <c:v>Home &amp; Kitchen</c:v>
                  </c:pt>
                  <c:pt idx="7">
                    <c:v>Electronics</c:v>
                  </c:pt>
                  <c:pt idx="8">
                    <c:v>Electronics</c:v>
                  </c:pt>
                  <c:pt idx="9">
                    <c:v>Electronics</c:v>
                  </c:pt>
                  <c:pt idx="10">
                    <c:v>Electronics</c:v>
                  </c:pt>
                  <c:pt idx="11">
                    <c:v>Home &amp; Kitchen</c:v>
                  </c:pt>
                  <c:pt idx="12">
                    <c:v>Grocery</c:v>
                  </c:pt>
                  <c:pt idx="13">
                    <c:v>Electronics</c:v>
                  </c:pt>
                  <c:pt idx="14">
                    <c:v>Home &amp; Kitchen</c:v>
                  </c:pt>
                  <c:pt idx="15">
                    <c:v>Fashion</c:v>
                  </c:pt>
                  <c:pt idx="16">
                    <c:v>Home &amp; Kitchen</c:v>
                  </c:pt>
                  <c:pt idx="17">
                    <c:v>Fashion</c:v>
                  </c:pt>
                  <c:pt idx="18">
                    <c:v>Beauty</c:v>
                  </c:pt>
                  <c:pt idx="19">
                    <c:v>Grocery</c:v>
                  </c:pt>
                  <c:pt idx="20">
                    <c:v>Electronics</c:v>
                  </c:pt>
                  <c:pt idx="21">
                    <c:v>Beauty</c:v>
                  </c:pt>
                  <c:pt idx="22">
                    <c:v>Home &amp; Kitchen</c:v>
                  </c:pt>
                  <c:pt idx="23">
                    <c:v>Fashion</c:v>
                  </c:pt>
                  <c:pt idx="24">
                    <c:v>Fashion</c:v>
                  </c:pt>
                  <c:pt idx="25">
                    <c:v>Grocery</c:v>
                  </c:pt>
                  <c:pt idx="26">
                    <c:v>Grocery</c:v>
                  </c:pt>
                  <c:pt idx="27">
                    <c:v>Electronics</c:v>
                  </c:pt>
                  <c:pt idx="28">
                    <c:v>Fashion</c:v>
                  </c:pt>
                  <c:pt idx="29">
                    <c:v>Home &amp; Kitchen</c:v>
                  </c:pt>
                  <c:pt idx="30">
                    <c:v>Grocery</c:v>
                  </c:pt>
                  <c:pt idx="31">
                    <c:v>Beauty</c:v>
                  </c:pt>
                  <c:pt idx="32">
                    <c:v>Home &amp; Kitchen</c:v>
                  </c:pt>
                  <c:pt idx="33">
                    <c:v>Beauty</c:v>
                  </c:pt>
                  <c:pt idx="34">
                    <c:v>Beauty</c:v>
                  </c:pt>
                  <c:pt idx="35">
                    <c:v>Grocery</c:v>
                  </c:pt>
                  <c:pt idx="36">
                    <c:v>Beauty</c:v>
                  </c:pt>
                  <c:pt idx="37">
                    <c:v>Beauty</c:v>
                  </c:pt>
                  <c:pt idx="38">
                    <c:v>Beauty</c:v>
                  </c:pt>
                  <c:pt idx="39">
                    <c:v>Home &amp; Kitchen</c:v>
                  </c:pt>
                  <c:pt idx="40">
                    <c:v>Electronics</c:v>
                  </c:pt>
                  <c:pt idx="41">
                    <c:v>Grocery</c:v>
                  </c:pt>
                  <c:pt idx="42">
                    <c:v>Grocery</c:v>
                  </c:pt>
                  <c:pt idx="43">
                    <c:v>Grocery</c:v>
                  </c:pt>
                  <c:pt idx="44">
                    <c:v>Grocery</c:v>
                  </c:pt>
                  <c:pt idx="45">
                    <c:v>Grocery</c:v>
                  </c:pt>
                  <c:pt idx="46">
                    <c:v>Electronics</c:v>
                  </c:pt>
                  <c:pt idx="47">
                    <c:v>Grocery</c:v>
                  </c:pt>
                  <c:pt idx="48">
                    <c:v>Grocery</c:v>
                  </c:pt>
                  <c:pt idx="49">
                    <c:v>Electronics</c:v>
                  </c:pt>
                  <c:pt idx="50">
                    <c:v>Beauty</c:v>
                  </c:pt>
                  <c:pt idx="51">
                    <c:v>Grocery</c:v>
                  </c:pt>
                  <c:pt idx="52">
                    <c:v>Fashion</c:v>
                  </c:pt>
                  <c:pt idx="53">
                    <c:v>Beauty</c:v>
                  </c:pt>
                  <c:pt idx="54">
                    <c:v>Home &amp; Kitchen</c:v>
                  </c:pt>
                  <c:pt idx="55">
                    <c:v>Beauty</c:v>
                  </c:pt>
                  <c:pt idx="56">
                    <c:v>Home &amp; Kitchen</c:v>
                  </c:pt>
                  <c:pt idx="57">
                    <c:v>Grocery</c:v>
                  </c:pt>
                  <c:pt idx="58">
                    <c:v>Home &amp; Kitchen</c:v>
                  </c:pt>
                  <c:pt idx="59">
                    <c:v>Beauty</c:v>
                  </c:pt>
                  <c:pt idx="60">
                    <c:v>Grocery</c:v>
                  </c:pt>
                  <c:pt idx="61">
                    <c:v>Beauty</c:v>
                  </c:pt>
                  <c:pt idx="62">
                    <c:v>Home &amp; Kitchen</c:v>
                  </c:pt>
                  <c:pt idx="63">
                    <c:v>Electronics</c:v>
                  </c:pt>
                  <c:pt idx="64">
                    <c:v>Home &amp; Kitchen</c:v>
                  </c:pt>
                  <c:pt idx="65">
                    <c:v>Beauty</c:v>
                  </c:pt>
                  <c:pt idx="66">
                    <c:v>Grocery</c:v>
                  </c:pt>
                  <c:pt idx="67">
                    <c:v>Fashion</c:v>
                  </c:pt>
                  <c:pt idx="68">
                    <c:v>Electronics</c:v>
                  </c:pt>
                  <c:pt idx="69">
                    <c:v>Grocery</c:v>
                  </c:pt>
                  <c:pt idx="70">
                    <c:v>Grocery</c:v>
                  </c:pt>
                  <c:pt idx="71">
                    <c:v>Grocery</c:v>
                  </c:pt>
                  <c:pt idx="72">
                    <c:v>Grocery</c:v>
                  </c:pt>
                  <c:pt idx="73">
                    <c:v>Grocery</c:v>
                  </c:pt>
                  <c:pt idx="74">
                    <c:v>Home &amp; Kitchen</c:v>
                  </c:pt>
                  <c:pt idx="75">
                    <c:v>Beauty</c:v>
                  </c:pt>
                  <c:pt idx="76">
                    <c:v>Grocery</c:v>
                  </c:pt>
                  <c:pt idx="77">
                    <c:v>Electronics</c:v>
                  </c:pt>
                  <c:pt idx="78">
                    <c:v>Beauty</c:v>
                  </c:pt>
                  <c:pt idx="79">
                    <c:v>Electronics</c:v>
                  </c:pt>
                  <c:pt idx="80">
                    <c:v>Home &amp; Kitchen</c:v>
                  </c:pt>
                  <c:pt idx="81">
                    <c:v>Beauty</c:v>
                  </c:pt>
                  <c:pt idx="82">
                    <c:v>Fashion</c:v>
                  </c:pt>
                  <c:pt idx="83">
                    <c:v>Electronics</c:v>
                  </c:pt>
                  <c:pt idx="84">
                    <c:v>Grocery</c:v>
                  </c:pt>
                  <c:pt idx="85">
                    <c:v>Electronics</c:v>
                  </c:pt>
                  <c:pt idx="86">
                    <c:v>Fashion</c:v>
                  </c:pt>
                  <c:pt idx="87">
                    <c:v>Home &amp; Kitchen</c:v>
                  </c:pt>
                  <c:pt idx="88">
                    <c:v>Electronics</c:v>
                  </c:pt>
                  <c:pt idx="89">
                    <c:v>Grocery</c:v>
                  </c:pt>
                  <c:pt idx="90">
                    <c:v>Home &amp; Kitchen</c:v>
                  </c:pt>
                  <c:pt idx="91">
                    <c:v>Beauty</c:v>
                  </c:pt>
                  <c:pt idx="92">
                    <c:v>Home &amp; Kitchen</c:v>
                  </c:pt>
                  <c:pt idx="93">
                    <c:v>Fashion</c:v>
                  </c:pt>
                  <c:pt idx="94">
                    <c:v>Beauty</c:v>
                  </c:pt>
                  <c:pt idx="95">
                    <c:v>Electronics</c:v>
                  </c:pt>
                  <c:pt idx="96">
                    <c:v>Beauty</c:v>
                  </c:pt>
                  <c:pt idx="97">
                    <c:v>Electronics</c:v>
                  </c:pt>
                  <c:pt idx="98">
                    <c:v>Beauty</c:v>
                  </c:pt>
                  <c:pt idx="99">
                    <c:v>Home &amp; Kitchen</c:v>
                  </c:pt>
                  <c:pt idx="100">
                    <c:v>Home &amp; Kitchen</c:v>
                  </c:pt>
                  <c:pt idx="101">
                    <c:v>Beauty</c:v>
                  </c:pt>
                  <c:pt idx="102">
                    <c:v>Home &amp; Kitchen</c:v>
                  </c:pt>
                  <c:pt idx="103">
                    <c:v>Grocery</c:v>
                  </c:pt>
                  <c:pt idx="104">
                    <c:v>Electronics</c:v>
                  </c:pt>
                  <c:pt idx="105">
                    <c:v>Electronics</c:v>
                  </c:pt>
                  <c:pt idx="106">
                    <c:v>Electronics</c:v>
                  </c:pt>
                  <c:pt idx="107">
                    <c:v>Home &amp; Kitchen</c:v>
                  </c:pt>
                  <c:pt idx="108">
                    <c:v>Beauty</c:v>
                  </c:pt>
                  <c:pt idx="109">
                    <c:v>Beauty</c:v>
                  </c:pt>
                  <c:pt idx="110">
                    <c:v>Electronics</c:v>
                  </c:pt>
                  <c:pt idx="111">
                    <c:v>Electronics</c:v>
                  </c:pt>
                  <c:pt idx="112">
                    <c:v>Electronics</c:v>
                  </c:pt>
                  <c:pt idx="113">
                    <c:v>Home &amp; Kitchen</c:v>
                  </c:pt>
                  <c:pt idx="114">
                    <c:v>Beauty</c:v>
                  </c:pt>
                  <c:pt idx="115">
                    <c:v>Home &amp; Kitchen</c:v>
                  </c:pt>
                  <c:pt idx="116">
                    <c:v>Electronics</c:v>
                  </c:pt>
                  <c:pt idx="117">
                    <c:v>Fashion</c:v>
                  </c:pt>
                  <c:pt idx="118">
                    <c:v>Fashion</c:v>
                  </c:pt>
                  <c:pt idx="119">
                    <c:v>Fashion</c:v>
                  </c:pt>
                  <c:pt idx="120">
                    <c:v>Fashion</c:v>
                  </c:pt>
                  <c:pt idx="121">
                    <c:v>Fashion</c:v>
                  </c:pt>
                  <c:pt idx="122">
                    <c:v>Fashion</c:v>
                  </c:pt>
                  <c:pt idx="123">
                    <c:v>Beauty</c:v>
                  </c:pt>
                  <c:pt idx="124">
                    <c:v>Fashion</c:v>
                  </c:pt>
                  <c:pt idx="125">
                    <c:v>Home &amp; Kitchen</c:v>
                  </c:pt>
                  <c:pt idx="126">
                    <c:v>Beauty</c:v>
                  </c:pt>
                  <c:pt idx="127">
                    <c:v>Grocery</c:v>
                  </c:pt>
                  <c:pt idx="128">
                    <c:v>Grocery</c:v>
                  </c:pt>
                  <c:pt idx="129">
                    <c:v>Home &amp; Kitchen</c:v>
                  </c:pt>
                  <c:pt idx="130">
                    <c:v>Fashion</c:v>
                  </c:pt>
                  <c:pt idx="131">
                    <c:v>Home &amp; Kitchen</c:v>
                  </c:pt>
                  <c:pt idx="132">
                    <c:v>Home &amp; Kitchen</c:v>
                  </c:pt>
                  <c:pt idx="133">
                    <c:v>Grocery</c:v>
                  </c:pt>
                  <c:pt idx="134">
                    <c:v>Beauty</c:v>
                  </c:pt>
                  <c:pt idx="135">
                    <c:v>Fashion</c:v>
                  </c:pt>
                  <c:pt idx="136">
                    <c:v>Grocery</c:v>
                  </c:pt>
                  <c:pt idx="137">
                    <c:v>Beauty</c:v>
                  </c:pt>
                  <c:pt idx="138">
                    <c:v>Electronics</c:v>
                  </c:pt>
                  <c:pt idx="139">
                    <c:v>Fashion</c:v>
                  </c:pt>
                  <c:pt idx="140">
                    <c:v>Fashion</c:v>
                  </c:pt>
                  <c:pt idx="141">
                    <c:v>Home &amp; Kitchen</c:v>
                  </c:pt>
                  <c:pt idx="142">
                    <c:v>Home &amp; Kitchen</c:v>
                  </c:pt>
                  <c:pt idx="143">
                    <c:v>Home &amp; Kitchen</c:v>
                  </c:pt>
                  <c:pt idx="144">
                    <c:v>Home &amp; Kitchen</c:v>
                  </c:pt>
                  <c:pt idx="145">
                    <c:v>Grocery</c:v>
                  </c:pt>
                  <c:pt idx="146">
                    <c:v>Beauty</c:v>
                  </c:pt>
                  <c:pt idx="147">
                    <c:v>Beauty</c:v>
                  </c:pt>
                  <c:pt idx="148">
                    <c:v>Fashion</c:v>
                  </c:pt>
                  <c:pt idx="149">
                    <c:v>Electronics</c:v>
                  </c:pt>
                  <c:pt idx="150">
                    <c:v>Electronics</c:v>
                  </c:pt>
                  <c:pt idx="151">
                    <c:v>Beauty</c:v>
                  </c:pt>
                  <c:pt idx="152">
                    <c:v>Electronics</c:v>
                  </c:pt>
                  <c:pt idx="153">
                    <c:v>Beauty</c:v>
                  </c:pt>
                  <c:pt idx="154">
                    <c:v>Grocery</c:v>
                  </c:pt>
                  <c:pt idx="155">
                    <c:v>Fashion</c:v>
                  </c:pt>
                  <c:pt idx="156">
                    <c:v>Beauty</c:v>
                  </c:pt>
                  <c:pt idx="157">
                    <c:v>Electronics</c:v>
                  </c:pt>
                  <c:pt idx="158">
                    <c:v>Electronics</c:v>
                  </c:pt>
                  <c:pt idx="159">
                    <c:v>Beauty</c:v>
                  </c:pt>
                  <c:pt idx="160">
                    <c:v>Grocery</c:v>
                  </c:pt>
                  <c:pt idx="161">
                    <c:v>Home &amp; Kitchen</c:v>
                  </c:pt>
                  <c:pt idx="162">
                    <c:v>Electronics</c:v>
                  </c:pt>
                  <c:pt idx="163">
                    <c:v>Home &amp; Kitchen</c:v>
                  </c:pt>
                  <c:pt idx="164">
                    <c:v>Electronics</c:v>
                  </c:pt>
                  <c:pt idx="165">
                    <c:v>Electronics</c:v>
                  </c:pt>
                  <c:pt idx="166">
                    <c:v>Electronics</c:v>
                  </c:pt>
                  <c:pt idx="167">
                    <c:v>Electronics</c:v>
                  </c:pt>
                  <c:pt idx="168">
                    <c:v>Fashion</c:v>
                  </c:pt>
                  <c:pt idx="169">
                    <c:v>Grocery</c:v>
                  </c:pt>
                  <c:pt idx="170">
                    <c:v>Electronics</c:v>
                  </c:pt>
                  <c:pt idx="171">
                    <c:v>Electronics</c:v>
                  </c:pt>
                  <c:pt idx="172">
                    <c:v>Grocery</c:v>
                  </c:pt>
                  <c:pt idx="173">
                    <c:v>Grocery</c:v>
                  </c:pt>
                  <c:pt idx="174">
                    <c:v>Beauty</c:v>
                  </c:pt>
                  <c:pt idx="175">
                    <c:v>Fashion</c:v>
                  </c:pt>
                  <c:pt idx="176">
                    <c:v>Fashion</c:v>
                  </c:pt>
                  <c:pt idx="177">
                    <c:v>Beauty</c:v>
                  </c:pt>
                  <c:pt idx="178">
                    <c:v>Grocery</c:v>
                  </c:pt>
                  <c:pt idx="179">
                    <c:v>Beauty</c:v>
                  </c:pt>
                  <c:pt idx="180">
                    <c:v>Fashion</c:v>
                  </c:pt>
                  <c:pt idx="181">
                    <c:v>Electronics</c:v>
                  </c:pt>
                  <c:pt idx="182">
                    <c:v>Home &amp; Kitchen</c:v>
                  </c:pt>
                  <c:pt idx="183">
                    <c:v>Fashion</c:v>
                  </c:pt>
                  <c:pt idx="184">
                    <c:v>Grocery</c:v>
                  </c:pt>
                  <c:pt idx="185">
                    <c:v>Home &amp; Kitchen</c:v>
                  </c:pt>
                  <c:pt idx="186">
                    <c:v>Fashion</c:v>
                  </c:pt>
                  <c:pt idx="187">
                    <c:v>Home &amp; Kitchen</c:v>
                  </c:pt>
                  <c:pt idx="188">
                    <c:v>Home &amp; Kitchen</c:v>
                  </c:pt>
                  <c:pt idx="189">
                    <c:v>Electronics</c:v>
                  </c:pt>
                  <c:pt idx="190">
                    <c:v>Home &amp; Kitchen</c:v>
                  </c:pt>
                  <c:pt idx="191">
                    <c:v>Electronics</c:v>
                  </c:pt>
                  <c:pt idx="192">
                    <c:v>Fashion</c:v>
                  </c:pt>
                  <c:pt idx="193">
                    <c:v>Home &amp; Kitchen</c:v>
                  </c:pt>
                  <c:pt idx="194">
                    <c:v>Home &amp; Kitchen</c:v>
                  </c:pt>
                  <c:pt idx="195">
                    <c:v>Fashion</c:v>
                  </c:pt>
                  <c:pt idx="196">
                    <c:v>Fashion</c:v>
                  </c:pt>
                  <c:pt idx="197">
                    <c:v>Fashion</c:v>
                  </c:pt>
                  <c:pt idx="198">
                    <c:v>Fashion</c:v>
                  </c:pt>
                  <c:pt idx="199">
                    <c:v>Electronics</c:v>
                  </c:pt>
                  <c:pt idx="200">
                    <c:v>Electronics</c:v>
                  </c:pt>
                  <c:pt idx="201">
                    <c:v>Grocery</c:v>
                  </c:pt>
                  <c:pt idx="202">
                    <c:v>Grocery</c:v>
                  </c:pt>
                  <c:pt idx="203">
                    <c:v>Electronics</c:v>
                  </c:pt>
                  <c:pt idx="204">
                    <c:v>Home &amp; Kitchen</c:v>
                  </c:pt>
                  <c:pt idx="205">
                    <c:v>Electronics</c:v>
                  </c:pt>
                  <c:pt idx="206">
                    <c:v>Grocery</c:v>
                  </c:pt>
                  <c:pt idx="207">
                    <c:v>Beauty</c:v>
                  </c:pt>
                  <c:pt idx="208">
                    <c:v>Home &amp; Kitchen</c:v>
                  </c:pt>
                  <c:pt idx="209">
                    <c:v>Electronics</c:v>
                  </c:pt>
                  <c:pt idx="210">
                    <c:v>Beauty</c:v>
                  </c:pt>
                  <c:pt idx="211">
                    <c:v>Home &amp; Kitchen</c:v>
                  </c:pt>
                  <c:pt idx="212">
                    <c:v>Beauty</c:v>
                  </c:pt>
                  <c:pt idx="213">
                    <c:v>Grocery</c:v>
                  </c:pt>
                  <c:pt idx="214">
                    <c:v>Home &amp; Kitchen</c:v>
                  </c:pt>
                  <c:pt idx="215">
                    <c:v>Fashion</c:v>
                  </c:pt>
                  <c:pt idx="216">
                    <c:v>Home &amp; Kitchen</c:v>
                  </c:pt>
                  <c:pt idx="217">
                    <c:v>Beauty</c:v>
                  </c:pt>
                  <c:pt idx="218">
                    <c:v>Fashion</c:v>
                  </c:pt>
                  <c:pt idx="219">
                    <c:v>Beauty</c:v>
                  </c:pt>
                  <c:pt idx="220">
                    <c:v>Beauty</c:v>
                  </c:pt>
                  <c:pt idx="221">
                    <c:v>Grocery</c:v>
                  </c:pt>
                  <c:pt idx="222">
                    <c:v>Fashion</c:v>
                  </c:pt>
                  <c:pt idx="223">
                    <c:v>Beauty</c:v>
                  </c:pt>
                  <c:pt idx="224">
                    <c:v>Fashion</c:v>
                  </c:pt>
                  <c:pt idx="225">
                    <c:v>Home &amp; Kitchen</c:v>
                  </c:pt>
                  <c:pt idx="226">
                    <c:v>Beauty</c:v>
                  </c:pt>
                  <c:pt idx="227">
                    <c:v>Fashion</c:v>
                  </c:pt>
                  <c:pt idx="228">
                    <c:v>Electronics</c:v>
                  </c:pt>
                  <c:pt idx="229">
                    <c:v>Home &amp; Kitchen</c:v>
                  </c:pt>
                  <c:pt idx="230">
                    <c:v>Electronics</c:v>
                  </c:pt>
                  <c:pt idx="231">
                    <c:v>Fashion</c:v>
                  </c:pt>
                  <c:pt idx="232">
                    <c:v>Fashion</c:v>
                  </c:pt>
                  <c:pt idx="233">
                    <c:v>Fashion</c:v>
                  </c:pt>
                  <c:pt idx="234">
                    <c:v>Grocery</c:v>
                  </c:pt>
                  <c:pt idx="235">
                    <c:v>Home &amp; Kitchen</c:v>
                  </c:pt>
                  <c:pt idx="236">
                    <c:v>Grocery</c:v>
                  </c:pt>
                  <c:pt idx="237">
                    <c:v>Fashion</c:v>
                  </c:pt>
                  <c:pt idx="238">
                    <c:v>Home &amp; Kitchen</c:v>
                  </c:pt>
                  <c:pt idx="239">
                    <c:v>Beauty</c:v>
                  </c:pt>
                  <c:pt idx="240">
                    <c:v>Fashion</c:v>
                  </c:pt>
                  <c:pt idx="241">
                    <c:v>Electronics</c:v>
                  </c:pt>
                  <c:pt idx="242">
                    <c:v>Home &amp; Kitchen</c:v>
                  </c:pt>
                  <c:pt idx="243">
                    <c:v>Electronics</c:v>
                  </c:pt>
                  <c:pt idx="244">
                    <c:v>Grocery</c:v>
                  </c:pt>
                  <c:pt idx="245">
                    <c:v>Fashion</c:v>
                  </c:pt>
                  <c:pt idx="246">
                    <c:v>Fashion</c:v>
                  </c:pt>
                  <c:pt idx="247">
                    <c:v>Beauty</c:v>
                  </c:pt>
                  <c:pt idx="248">
                    <c:v>Grocery</c:v>
                  </c:pt>
                  <c:pt idx="249">
                    <c:v>Grocery</c:v>
                  </c:pt>
                  <c:pt idx="250">
                    <c:v>Grocery</c:v>
                  </c:pt>
                  <c:pt idx="251">
                    <c:v>Electronics</c:v>
                  </c:pt>
                  <c:pt idx="252">
                    <c:v>Beauty</c:v>
                  </c:pt>
                  <c:pt idx="253">
                    <c:v>Grocery</c:v>
                  </c:pt>
                  <c:pt idx="254">
                    <c:v>Fashion</c:v>
                  </c:pt>
                  <c:pt idx="255">
                    <c:v>Beauty</c:v>
                  </c:pt>
                  <c:pt idx="256">
                    <c:v>Grocery</c:v>
                  </c:pt>
                  <c:pt idx="257">
                    <c:v>Fashion</c:v>
                  </c:pt>
                  <c:pt idx="258">
                    <c:v>Electronics</c:v>
                  </c:pt>
                  <c:pt idx="259">
                    <c:v>Home &amp; Kitchen</c:v>
                  </c:pt>
                  <c:pt idx="260">
                    <c:v>Electronics</c:v>
                  </c:pt>
                  <c:pt idx="261">
                    <c:v>Electronics</c:v>
                  </c:pt>
                  <c:pt idx="262">
                    <c:v>Grocery</c:v>
                  </c:pt>
                  <c:pt idx="263">
                    <c:v>Fashion</c:v>
                  </c:pt>
                  <c:pt idx="264">
                    <c:v>Home &amp; Kitchen</c:v>
                  </c:pt>
                  <c:pt idx="265">
                    <c:v>Beauty</c:v>
                  </c:pt>
                  <c:pt idx="266">
                    <c:v>Grocery</c:v>
                  </c:pt>
                  <c:pt idx="267">
                    <c:v>Grocery</c:v>
                  </c:pt>
                  <c:pt idx="268">
                    <c:v>Home &amp; Kitchen</c:v>
                  </c:pt>
                  <c:pt idx="269">
                    <c:v>Grocery</c:v>
                  </c:pt>
                  <c:pt idx="270">
                    <c:v>Beauty</c:v>
                  </c:pt>
                  <c:pt idx="271">
                    <c:v>Fashion</c:v>
                  </c:pt>
                  <c:pt idx="272">
                    <c:v>Grocery</c:v>
                  </c:pt>
                  <c:pt idx="273">
                    <c:v>Home &amp; Kitchen</c:v>
                  </c:pt>
                  <c:pt idx="274">
                    <c:v>Beauty</c:v>
                  </c:pt>
                  <c:pt idx="275">
                    <c:v>Fashion</c:v>
                  </c:pt>
                  <c:pt idx="276">
                    <c:v>Grocery</c:v>
                  </c:pt>
                  <c:pt idx="277">
                    <c:v>Beauty</c:v>
                  </c:pt>
                  <c:pt idx="278">
                    <c:v>Grocery</c:v>
                  </c:pt>
                  <c:pt idx="279">
                    <c:v>Fashion</c:v>
                  </c:pt>
                  <c:pt idx="280">
                    <c:v>Grocery</c:v>
                  </c:pt>
                  <c:pt idx="281">
                    <c:v>Beauty</c:v>
                  </c:pt>
                  <c:pt idx="282">
                    <c:v>Beauty</c:v>
                  </c:pt>
                  <c:pt idx="283">
                    <c:v>Home &amp; Kitchen</c:v>
                  </c:pt>
                  <c:pt idx="284">
                    <c:v>Grocery</c:v>
                  </c:pt>
                  <c:pt idx="285">
                    <c:v>Beauty</c:v>
                  </c:pt>
                  <c:pt idx="286">
                    <c:v>Electronics</c:v>
                  </c:pt>
                  <c:pt idx="287">
                    <c:v>Grocery</c:v>
                  </c:pt>
                  <c:pt idx="288">
                    <c:v>Grocery</c:v>
                  </c:pt>
                  <c:pt idx="289">
                    <c:v>Electronics</c:v>
                  </c:pt>
                  <c:pt idx="290">
                    <c:v>Fashion</c:v>
                  </c:pt>
                  <c:pt idx="291">
                    <c:v>Home &amp; Kitchen</c:v>
                  </c:pt>
                  <c:pt idx="292">
                    <c:v>Beauty</c:v>
                  </c:pt>
                  <c:pt idx="293">
                    <c:v>Home &amp; Kitchen</c:v>
                  </c:pt>
                  <c:pt idx="294">
                    <c:v>Home &amp; Kitchen</c:v>
                  </c:pt>
                  <c:pt idx="295">
                    <c:v>Fashion</c:v>
                  </c:pt>
                  <c:pt idx="296">
                    <c:v>Grocery</c:v>
                  </c:pt>
                  <c:pt idx="297">
                    <c:v>Fashion</c:v>
                  </c:pt>
                  <c:pt idx="298">
                    <c:v>Electronics</c:v>
                  </c:pt>
                  <c:pt idx="299">
                    <c:v>Grocery</c:v>
                  </c:pt>
                </c:lvl>
                <c:lvl>
                  <c:pt idx="0">
                    <c:v>27-Aug-2026</c:v>
                  </c:pt>
                  <c:pt idx="1">
                    <c:v>25-Aug-2026</c:v>
                  </c:pt>
                  <c:pt idx="2">
                    <c:v>06-Sep-2026</c:v>
                  </c:pt>
                  <c:pt idx="3">
                    <c:v>24-Aug-2026</c:v>
                  </c:pt>
                  <c:pt idx="4">
                    <c:v>15-Aug-2026</c:v>
                  </c:pt>
                  <c:pt idx="5">
                    <c:v>26-Aug-2026</c:v>
                  </c:pt>
                  <c:pt idx="6">
                    <c:v>18-Sep-2026</c:v>
                  </c:pt>
                  <c:pt idx="7">
                    <c:v>01-Aug-2026</c:v>
                  </c:pt>
                  <c:pt idx="8">
                    <c:v>02-Sep-2026</c:v>
                  </c:pt>
                  <c:pt idx="9">
                    <c:v>01-Sep-2026</c:v>
                  </c:pt>
                  <c:pt idx="10">
                    <c:v>09-Aug-2026</c:v>
                  </c:pt>
                  <c:pt idx="11">
                    <c:v>12-Sep-2026</c:v>
                  </c:pt>
                  <c:pt idx="12">
                    <c:v>22-Aug-2026</c:v>
                  </c:pt>
                  <c:pt idx="13">
                    <c:v>23-Aug-2026</c:v>
                  </c:pt>
                  <c:pt idx="14">
                    <c:v>30-Aug-2026</c:v>
                  </c:pt>
                  <c:pt idx="15">
                    <c:v>27-Aug-2026</c:v>
                  </c:pt>
                  <c:pt idx="16">
                    <c:v>10-Aug-2026</c:v>
                  </c:pt>
                  <c:pt idx="17">
                    <c:v>04-Aug-2026</c:v>
                  </c:pt>
                  <c:pt idx="18">
                    <c:v>03-Sep-2026</c:v>
                  </c:pt>
                  <c:pt idx="19">
                    <c:v>06-Sep-2026</c:v>
                  </c:pt>
                  <c:pt idx="20">
                    <c:v>01-Aug-2026</c:v>
                  </c:pt>
                  <c:pt idx="21">
                    <c:v>02-Sep-2026</c:v>
                  </c:pt>
                  <c:pt idx="22">
                    <c:v>05-Aug-2026</c:v>
                  </c:pt>
                  <c:pt idx="23">
                    <c:v>14-Aug-2026</c:v>
                  </c:pt>
                  <c:pt idx="24">
                    <c:v>12-Aug-2026</c:v>
                  </c:pt>
                  <c:pt idx="25">
                    <c:v>23-Aug-2026</c:v>
                  </c:pt>
                  <c:pt idx="26">
                    <c:v>02-Aug-2026</c:v>
                  </c:pt>
                  <c:pt idx="27">
                    <c:v>06-Sep-2026</c:v>
                  </c:pt>
                  <c:pt idx="28">
                    <c:v>20-Aug-2026</c:v>
                  </c:pt>
                  <c:pt idx="29">
                    <c:v>01-Aug-2026</c:v>
                  </c:pt>
                  <c:pt idx="30">
                    <c:v>19-Aug-2026</c:v>
                  </c:pt>
                  <c:pt idx="31">
                    <c:v>30-Aug-2026</c:v>
                  </c:pt>
                  <c:pt idx="32">
                    <c:v>12-Aug-2026</c:v>
                  </c:pt>
                  <c:pt idx="33">
                    <c:v>09-Sep-2026</c:v>
                  </c:pt>
                  <c:pt idx="34">
                    <c:v>15-Sep-2026</c:v>
                  </c:pt>
                  <c:pt idx="35">
                    <c:v>22-Aug-2026</c:v>
                  </c:pt>
                  <c:pt idx="36">
                    <c:v>04-Sep-2026</c:v>
                  </c:pt>
                  <c:pt idx="37">
                    <c:v>09-Aug-2026</c:v>
                  </c:pt>
                  <c:pt idx="38">
                    <c:v>18-Sep-2026</c:v>
                  </c:pt>
                  <c:pt idx="39">
                    <c:v>18-Sep-2026</c:v>
                  </c:pt>
                  <c:pt idx="40">
                    <c:v>11-Aug-2026</c:v>
                  </c:pt>
                  <c:pt idx="41">
                    <c:v>07-Aug-2026</c:v>
                  </c:pt>
                  <c:pt idx="42">
                    <c:v>28-Aug-2026</c:v>
                  </c:pt>
                  <c:pt idx="43">
                    <c:v>18-Aug-2026</c:v>
                  </c:pt>
                  <c:pt idx="44">
                    <c:v>17-Aug-2026</c:v>
                  </c:pt>
                  <c:pt idx="45">
                    <c:v>29-Aug-2026</c:v>
                  </c:pt>
                  <c:pt idx="46">
                    <c:v>20-Aug-2026</c:v>
                  </c:pt>
                  <c:pt idx="47">
                    <c:v>08-Sep-2026</c:v>
                  </c:pt>
                  <c:pt idx="48">
                    <c:v>07-Aug-2026</c:v>
                  </c:pt>
                  <c:pt idx="49">
                    <c:v>05-Aug-2026</c:v>
                  </c:pt>
                  <c:pt idx="50">
                    <c:v>29-Aug-2026</c:v>
                  </c:pt>
                  <c:pt idx="51">
                    <c:v>16-Aug-2026</c:v>
                  </c:pt>
                  <c:pt idx="52">
                    <c:v>10-Sep-2026</c:v>
                  </c:pt>
                  <c:pt idx="53">
                    <c:v>19-Aug-2026</c:v>
                  </c:pt>
                  <c:pt idx="54">
                    <c:v>15-Aug-2026</c:v>
                  </c:pt>
                  <c:pt idx="55">
                    <c:v>28-Aug-2026</c:v>
                  </c:pt>
                  <c:pt idx="56">
                    <c:v>06-Aug-2026</c:v>
                  </c:pt>
                  <c:pt idx="57">
                    <c:v>09-Sep-2026</c:v>
                  </c:pt>
                  <c:pt idx="58">
                    <c:v>20-Aug-2026</c:v>
                  </c:pt>
                  <c:pt idx="59">
                    <c:v>02-Sep-2026</c:v>
                  </c:pt>
                  <c:pt idx="60">
                    <c:v>22-Aug-2026</c:v>
                  </c:pt>
                  <c:pt idx="61">
                    <c:v>25-Aug-2026</c:v>
                  </c:pt>
                  <c:pt idx="62">
                    <c:v>01-Sep-2026</c:v>
                  </c:pt>
                  <c:pt idx="63">
                    <c:v>05-Aug-2026</c:v>
                  </c:pt>
                  <c:pt idx="64">
                    <c:v>03-Aug-2026</c:v>
                  </c:pt>
                  <c:pt idx="65">
                    <c:v>14-Sep-2026</c:v>
                  </c:pt>
                  <c:pt idx="66">
                    <c:v>09-Sep-2026</c:v>
                  </c:pt>
                  <c:pt idx="67">
                    <c:v>11-Aug-2026</c:v>
                  </c:pt>
                  <c:pt idx="68">
                    <c:v>14-Sep-2026</c:v>
                  </c:pt>
                  <c:pt idx="69">
                    <c:v>08-Sep-2026</c:v>
                  </c:pt>
                  <c:pt idx="70">
                    <c:v>19-Aug-2026</c:v>
                  </c:pt>
                  <c:pt idx="71">
                    <c:v>19-Aug-2026</c:v>
                  </c:pt>
                  <c:pt idx="72">
                    <c:v>13-Sep-2026</c:v>
                  </c:pt>
                  <c:pt idx="73">
                    <c:v>10-Sep-2026</c:v>
                  </c:pt>
                  <c:pt idx="74">
                    <c:v>27-Aug-2026</c:v>
                  </c:pt>
                  <c:pt idx="75">
                    <c:v>07-Aug-2026</c:v>
                  </c:pt>
                  <c:pt idx="76">
                    <c:v>14-Aug-2026</c:v>
                  </c:pt>
                  <c:pt idx="77">
                    <c:v>09-Aug-2026</c:v>
                  </c:pt>
                  <c:pt idx="78">
                    <c:v>08-Aug-2026</c:v>
                  </c:pt>
                  <c:pt idx="79">
                    <c:v>20-Aug-2026</c:v>
                  </c:pt>
                  <c:pt idx="80">
                    <c:v>09-Sep-2026</c:v>
                  </c:pt>
                  <c:pt idx="81">
                    <c:v>16-Sep-2026</c:v>
                  </c:pt>
                  <c:pt idx="82">
                    <c:v>05-Aug-2026</c:v>
                  </c:pt>
                  <c:pt idx="83">
                    <c:v>27-Aug-2026</c:v>
                  </c:pt>
                  <c:pt idx="84">
                    <c:v>24-Aug-2026</c:v>
                  </c:pt>
                  <c:pt idx="85">
                    <c:v>02-Aug-2026</c:v>
                  </c:pt>
                  <c:pt idx="86">
                    <c:v>27-Aug-2026</c:v>
                  </c:pt>
                  <c:pt idx="87">
                    <c:v>13-Sep-2026</c:v>
                  </c:pt>
                  <c:pt idx="88">
                    <c:v>12-Sep-2026</c:v>
                  </c:pt>
                  <c:pt idx="89">
                    <c:v>17-Sep-2026</c:v>
                  </c:pt>
                  <c:pt idx="90">
                    <c:v>21-Aug-2026</c:v>
                  </c:pt>
                  <c:pt idx="91">
                    <c:v>06-Aug-2026</c:v>
                  </c:pt>
                  <c:pt idx="92">
                    <c:v>02-Sep-2026</c:v>
                  </c:pt>
                  <c:pt idx="93">
                    <c:v>30-Aug-2026</c:v>
                  </c:pt>
                  <c:pt idx="94">
                    <c:v>07-Sep-2026</c:v>
                  </c:pt>
                  <c:pt idx="95">
                    <c:v>08-Sep-2026</c:v>
                  </c:pt>
                  <c:pt idx="96">
                    <c:v>22-Aug-2026</c:v>
                  </c:pt>
                  <c:pt idx="97">
                    <c:v>22-Aug-2026</c:v>
                  </c:pt>
                  <c:pt idx="98">
                    <c:v>20-Aug-2026</c:v>
                  </c:pt>
                  <c:pt idx="99">
                    <c:v>06-Aug-2026</c:v>
                  </c:pt>
                  <c:pt idx="100">
                    <c:v>04-Sep-2026</c:v>
                  </c:pt>
                  <c:pt idx="101">
                    <c:v>03-Aug-2026</c:v>
                  </c:pt>
                  <c:pt idx="102">
                    <c:v>30-Aug-2026</c:v>
                  </c:pt>
                  <c:pt idx="103">
                    <c:v>05-Sep-2026</c:v>
                  </c:pt>
                  <c:pt idx="104">
                    <c:v>27-Aug-2026</c:v>
                  </c:pt>
                  <c:pt idx="105">
                    <c:v>09-Aug-2026</c:v>
                  </c:pt>
                  <c:pt idx="106">
                    <c:v>03-Sep-2026</c:v>
                  </c:pt>
                  <c:pt idx="107">
                    <c:v>10-Sep-2026</c:v>
                  </c:pt>
                  <c:pt idx="108">
                    <c:v>04-Sep-2026</c:v>
                  </c:pt>
                  <c:pt idx="109">
                    <c:v>16-Aug-2026</c:v>
                  </c:pt>
                  <c:pt idx="110">
                    <c:v>09-Aug-2026</c:v>
                  </c:pt>
                  <c:pt idx="111">
                    <c:v>17-Aug-2026</c:v>
                  </c:pt>
                  <c:pt idx="112">
                    <c:v>01-Sep-2026</c:v>
                  </c:pt>
                  <c:pt idx="113">
                    <c:v>29-Aug-2026</c:v>
                  </c:pt>
                  <c:pt idx="114">
                    <c:v>12-Sep-2026</c:v>
                  </c:pt>
                  <c:pt idx="115">
                    <c:v>06-Sep-2026</c:v>
                  </c:pt>
                  <c:pt idx="116">
                    <c:v>17-Sep-2026</c:v>
                  </c:pt>
                  <c:pt idx="117">
                    <c:v>08-Aug-2026</c:v>
                  </c:pt>
                  <c:pt idx="118">
                    <c:v>11-Aug-2026</c:v>
                  </c:pt>
                  <c:pt idx="119">
                    <c:v>05-Sep-2026</c:v>
                  </c:pt>
                  <c:pt idx="120">
                    <c:v>23-Aug-2026</c:v>
                  </c:pt>
                  <c:pt idx="121">
                    <c:v>11-Aug-2026</c:v>
                  </c:pt>
                  <c:pt idx="122">
                    <c:v>07-Sep-2026</c:v>
                  </c:pt>
                  <c:pt idx="123">
                    <c:v>17-Aug-2026</c:v>
                  </c:pt>
                  <c:pt idx="124">
                    <c:v>11-Aug-2026</c:v>
                  </c:pt>
                  <c:pt idx="125">
                    <c:v>02-Sep-2026</c:v>
                  </c:pt>
                  <c:pt idx="126">
                    <c:v>06-Sep-2026</c:v>
                  </c:pt>
                  <c:pt idx="127">
                    <c:v>07-Sep-2026</c:v>
                  </c:pt>
                  <c:pt idx="128">
                    <c:v>03-Aug-2026</c:v>
                  </c:pt>
                  <c:pt idx="129">
                    <c:v>08-Aug-2026</c:v>
                  </c:pt>
                  <c:pt idx="130">
                    <c:v>03-Sep-2026</c:v>
                  </c:pt>
                  <c:pt idx="131">
                    <c:v>04-Sep-2026</c:v>
                  </c:pt>
                  <c:pt idx="132">
                    <c:v>31-Aug-2026</c:v>
                  </c:pt>
                  <c:pt idx="133">
                    <c:v>03-Aug-2026</c:v>
                  </c:pt>
                  <c:pt idx="134">
                    <c:v>15-Sep-2026</c:v>
                  </c:pt>
                  <c:pt idx="135">
                    <c:v>13-Sep-2026</c:v>
                  </c:pt>
                  <c:pt idx="136">
                    <c:v>23-Aug-2026</c:v>
                  </c:pt>
                  <c:pt idx="137">
                    <c:v>15-Sep-2026</c:v>
                  </c:pt>
                  <c:pt idx="138">
                    <c:v>15-Aug-2026</c:v>
                  </c:pt>
                  <c:pt idx="139">
                    <c:v>31-Aug-2026</c:v>
                  </c:pt>
                  <c:pt idx="140">
                    <c:v>26-Aug-2026</c:v>
                  </c:pt>
                  <c:pt idx="141">
                    <c:v>02-Sep-2026</c:v>
                  </c:pt>
                  <c:pt idx="142">
                    <c:v>09-Sep-2026</c:v>
                  </c:pt>
                  <c:pt idx="143">
                    <c:v>16-Aug-2026</c:v>
                  </c:pt>
                  <c:pt idx="144">
                    <c:v>15-Sep-2026</c:v>
                  </c:pt>
                  <c:pt idx="145">
                    <c:v>31-Aug-2026</c:v>
                  </c:pt>
                  <c:pt idx="146">
                    <c:v>13-Aug-2026</c:v>
                  </c:pt>
                  <c:pt idx="147">
                    <c:v>30-Aug-2026</c:v>
                  </c:pt>
                  <c:pt idx="148">
                    <c:v>04-Sep-2026</c:v>
                  </c:pt>
                  <c:pt idx="149">
                    <c:v>25-Aug-2026</c:v>
                  </c:pt>
                  <c:pt idx="150">
                    <c:v>30-Aug-2026</c:v>
                  </c:pt>
                  <c:pt idx="151">
                    <c:v>09-Sep-2026</c:v>
                  </c:pt>
                  <c:pt idx="152">
                    <c:v>09-Aug-2026</c:v>
                  </c:pt>
                  <c:pt idx="153">
                    <c:v>20-Aug-2026</c:v>
                  </c:pt>
                  <c:pt idx="154">
                    <c:v>27-Aug-2026</c:v>
                  </c:pt>
                  <c:pt idx="155">
                    <c:v>27-Aug-2026</c:v>
                  </c:pt>
                  <c:pt idx="156">
                    <c:v>08-Sep-2026</c:v>
                  </c:pt>
                  <c:pt idx="157">
                    <c:v>13-Aug-2026</c:v>
                  </c:pt>
                  <c:pt idx="158">
                    <c:v>24-Aug-2026</c:v>
                  </c:pt>
                  <c:pt idx="159">
                    <c:v>02-Aug-2026</c:v>
                  </c:pt>
                  <c:pt idx="160">
                    <c:v>16-Sep-2026</c:v>
                  </c:pt>
                  <c:pt idx="161">
                    <c:v>03-Aug-2026</c:v>
                  </c:pt>
                  <c:pt idx="162">
                    <c:v>31-Aug-2026</c:v>
                  </c:pt>
                  <c:pt idx="163">
                    <c:v>12-Aug-2026</c:v>
                  </c:pt>
                  <c:pt idx="164">
                    <c:v>20-Aug-2026</c:v>
                  </c:pt>
                  <c:pt idx="165">
                    <c:v>06-Sep-2026</c:v>
                  </c:pt>
                  <c:pt idx="166">
                    <c:v>21-Aug-2026</c:v>
                  </c:pt>
                  <c:pt idx="167">
                    <c:v>25-Aug-2026</c:v>
                  </c:pt>
                  <c:pt idx="168">
                    <c:v>02-Aug-2026</c:v>
                  </c:pt>
                  <c:pt idx="169">
                    <c:v>16-Aug-2026</c:v>
                  </c:pt>
                  <c:pt idx="170">
                    <c:v>09-Aug-2026</c:v>
                  </c:pt>
                  <c:pt idx="171">
                    <c:v>01-Aug-2026</c:v>
                  </c:pt>
                  <c:pt idx="172">
                    <c:v>28-Aug-2026</c:v>
                  </c:pt>
                  <c:pt idx="173">
                    <c:v>22-Aug-2026</c:v>
                  </c:pt>
                  <c:pt idx="174">
                    <c:v>06-Sep-2026</c:v>
                  </c:pt>
                  <c:pt idx="175">
                    <c:v>15-Sep-2026</c:v>
                  </c:pt>
                  <c:pt idx="176">
                    <c:v>31-Aug-2026</c:v>
                  </c:pt>
                  <c:pt idx="177">
                    <c:v>16-Aug-2026</c:v>
                  </c:pt>
                  <c:pt idx="178">
                    <c:v>07-Sep-2026</c:v>
                  </c:pt>
                  <c:pt idx="179">
                    <c:v>08-Aug-2026</c:v>
                  </c:pt>
                  <c:pt idx="180">
                    <c:v>11-Sep-2026</c:v>
                  </c:pt>
                  <c:pt idx="181">
                    <c:v>12-Aug-2026</c:v>
                  </c:pt>
                  <c:pt idx="182">
                    <c:v>04-Sep-2026</c:v>
                  </c:pt>
                  <c:pt idx="183">
                    <c:v>08-Aug-2026</c:v>
                  </c:pt>
                  <c:pt idx="184">
                    <c:v>02-Sep-2026</c:v>
                  </c:pt>
                  <c:pt idx="185">
                    <c:v>19-Aug-2026</c:v>
                  </c:pt>
                  <c:pt idx="186">
                    <c:v>15-Sep-2026</c:v>
                  </c:pt>
                  <c:pt idx="187">
                    <c:v>17-Sep-2026</c:v>
                  </c:pt>
                  <c:pt idx="188">
                    <c:v>20-Aug-2026</c:v>
                  </c:pt>
                  <c:pt idx="189">
                    <c:v>10-Sep-2026</c:v>
                  </c:pt>
                  <c:pt idx="190">
                    <c:v>13-Sep-2026</c:v>
                  </c:pt>
                  <c:pt idx="191">
                    <c:v>01-Sep-2026</c:v>
                  </c:pt>
                  <c:pt idx="192">
                    <c:v>16-Sep-2026</c:v>
                  </c:pt>
                  <c:pt idx="193">
                    <c:v>06-Sep-2026</c:v>
                  </c:pt>
                  <c:pt idx="194">
                    <c:v>13-Aug-2026</c:v>
                  </c:pt>
                  <c:pt idx="195">
                    <c:v>16-Sep-2026</c:v>
                  </c:pt>
                  <c:pt idx="196">
                    <c:v>14-Sep-2026</c:v>
                  </c:pt>
                  <c:pt idx="197">
                    <c:v>11-Sep-2026</c:v>
                  </c:pt>
                  <c:pt idx="198">
                    <c:v>09-Aug-2026</c:v>
                  </c:pt>
                  <c:pt idx="199">
                    <c:v>14-Sep-2026</c:v>
                  </c:pt>
                  <c:pt idx="200">
                    <c:v>01-Aug-2026</c:v>
                  </c:pt>
                  <c:pt idx="201">
                    <c:v>01-Aug-2026</c:v>
                  </c:pt>
                  <c:pt idx="202">
                    <c:v>18-Aug-2026</c:v>
                  </c:pt>
                  <c:pt idx="203">
                    <c:v>20-Aug-2026</c:v>
                  </c:pt>
                  <c:pt idx="204">
                    <c:v>14-Sep-2026</c:v>
                  </c:pt>
                  <c:pt idx="205">
                    <c:v>02-Aug-2026</c:v>
                  </c:pt>
                  <c:pt idx="206">
                    <c:v>07-Aug-2026</c:v>
                  </c:pt>
                  <c:pt idx="207">
                    <c:v>05-Sep-2026</c:v>
                  </c:pt>
                  <c:pt idx="208">
                    <c:v>26-Aug-2026</c:v>
                  </c:pt>
                  <c:pt idx="209">
                    <c:v>24-Aug-2026</c:v>
                  </c:pt>
                  <c:pt idx="210">
                    <c:v>01-Aug-2026</c:v>
                  </c:pt>
                  <c:pt idx="211">
                    <c:v>15-Aug-2026</c:v>
                  </c:pt>
                  <c:pt idx="212">
                    <c:v>19-Aug-2026</c:v>
                  </c:pt>
                  <c:pt idx="213">
                    <c:v>11-Aug-2026</c:v>
                  </c:pt>
                  <c:pt idx="214">
                    <c:v>03-Aug-2026</c:v>
                  </c:pt>
                  <c:pt idx="215">
                    <c:v>26-Aug-2026</c:v>
                  </c:pt>
                  <c:pt idx="216">
                    <c:v>07-Sep-2026</c:v>
                  </c:pt>
                  <c:pt idx="217">
                    <c:v>04-Aug-2026</c:v>
                  </c:pt>
                  <c:pt idx="218">
                    <c:v>09-Sep-2026</c:v>
                  </c:pt>
                  <c:pt idx="219">
                    <c:v>16-Aug-2026</c:v>
                  </c:pt>
                  <c:pt idx="220">
                    <c:v>02-Aug-2026</c:v>
                  </c:pt>
                  <c:pt idx="221">
                    <c:v>18-Sep-2026</c:v>
                  </c:pt>
                  <c:pt idx="222">
                    <c:v>10-Aug-2026</c:v>
                  </c:pt>
                  <c:pt idx="223">
                    <c:v>13-Aug-2026</c:v>
                  </c:pt>
                  <c:pt idx="224">
                    <c:v>15-Sep-2026</c:v>
                  </c:pt>
                  <c:pt idx="225">
                    <c:v>14-Sep-2026</c:v>
                  </c:pt>
                  <c:pt idx="226">
                    <c:v>03-Aug-2026</c:v>
                  </c:pt>
                  <c:pt idx="227">
                    <c:v>10-Sep-2026</c:v>
                  </c:pt>
                  <c:pt idx="228">
                    <c:v>01-Sep-2026</c:v>
                  </c:pt>
                  <c:pt idx="229">
                    <c:v>19-Aug-2026</c:v>
                  </c:pt>
                  <c:pt idx="230">
                    <c:v>11-Sep-2026</c:v>
                  </c:pt>
                  <c:pt idx="231">
                    <c:v>20-Aug-2026</c:v>
                  </c:pt>
                  <c:pt idx="232">
                    <c:v>14-Aug-2026</c:v>
                  </c:pt>
                  <c:pt idx="233">
                    <c:v>12-Aug-2026</c:v>
                  </c:pt>
                  <c:pt idx="234">
                    <c:v>04-Sep-2026</c:v>
                  </c:pt>
                  <c:pt idx="235">
                    <c:v>31-Aug-2026</c:v>
                  </c:pt>
                  <c:pt idx="236">
                    <c:v>14-Aug-2026</c:v>
                  </c:pt>
                  <c:pt idx="237">
                    <c:v>06-Aug-2026</c:v>
                  </c:pt>
                  <c:pt idx="238">
                    <c:v>07-Aug-2026</c:v>
                  </c:pt>
                  <c:pt idx="239">
                    <c:v>26-Aug-2026</c:v>
                  </c:pt>
                  <c:pt idx="240">
                    <c:v>01-Sep-2026</c:v>
                  </c:pt>
                  <c:pt idx="241">
                    <c:v>27-Aug-2026</c:v>
                  </c:pt>
                  <c:pt idx="242">
                    <c:v>13-Aug-2026</c:v>
                  </c:pt>
                  <c:pt idx="243">
                    <c:v>16-Aug-2026</c:v>
                  </c:pt>
                  <c:pt idx="244">
                    <c:v>06-Sep-2026</c:v>
                  </c:pt>
                  <c:pt idx="245">
                    <c:v>09-Aug-2026</c:v>
                  </c:pt>
                  <c:pt idx="246">
                    <c:v>26-Aug-2026</c:v>
                  </c:pt>
                  <c:pt idx="247">
                    <c:v>18-Aug-2026</c:v>
                  </c:pt>
                  <c:pt idx="248">
                    <c:v>19-Aug-2026</c:v>
                  </c:pt>
                  <c:pt idx="249">
                    <c:v>12-Sep-2026</c:v>
                  </c:pt>
                  <c:pt idx="250">
                    <c:v>11-Sep-2026</c:v>
                  </c:pt>
                  <c:pt idx="251">
                    <c:v>07-Sep-2026</c:v>
                  </c:pt>
                  <c:pt idx="252">
                    <c:v>10-Aug-2026</c:v>
                  </c:pt>
                  <c:pt idx="253">
                    <c:v>06-Sep-2026</c:v>
                  </c:pt>
                  <c:pt idx="254">
                    <c:v>18-Sep-2026</c:v>
                  </c:pt>
                  <c:pt idx="255">
                    <c:v>03-Aug-2026</c:v>
                  </c:pt>
                  <c:pt idx="256">
                    <c:v>02-Aug-2026</c:v>
                  </c:pt>
                  <c:pt idx="257">
                    <c:v>09-Sep-2026</c:v>
                  </c:pt>
                  <c:pt idx="258">
                    <c:v>20-Aug-2026</c:v>
                  </c:pt>
                  <c:pt idx="259">
                    <c:v>08-Aug-2026</c:v>
                  </c:pt>
                  <c:pt idx="260">
                    <c:v>16-Aug-2026</c:v>
                  </c:pt>
                  <c:pt idx="261">
                    <c:v>30-Aug-2026</c:v>
                  </c:pt>
                  <c:pt idx="262">
                    <c:v>12-Sep-2026</c:v>
                  </c:pt>
                  <c:pt idx="263">
                    <c:v>25-Aug-2026</c:v>
                  </c:pt>
                  <c:pt idx="264">
                    <c:v>12-Aug-2026</c:v>
                  </c:pt>
                  <c:pt idx="265">
                    <c:v>17-Aug-2026</c:v>
                  </c:pt>
                  <c:pt idx="266">
                    <c:v>31-Aug-2026</c:v>
                  </c:pt>
                  <c:pt idx="267">
                    <c:v>05-Aug-2026</c:v>
                  </c:pt>
                  <c:pt idx="268">
                    <c:v>29-Aug-2026</c:v>
                  </c:pt>
                  <c:pt idx="269">
                    <c:v>02-Sep-2026</c:v>
                  </c:pt>
                  <c:pt idx="270">
                    <c:v>18-Sep-2026</c:v>
                  </c:pt>
                  <c:pt idx="271">
                    <c:v>07-Aug-2026</c:v>
                  </c:pt>
                  <c:pt idx="272">
                    <c:v>08-Aug-2026</c:v>
                  </c:pt>
                  <c:pt idx="273">
                    <c:v>14-Sep-2026</c:v>
                  </c:pt>
                  <c:pt idx="274">
                    <c:v>29-Aug-2026</c:v>
                  </c:pt>
                  <c:pt idx="275">
                    <c:v>15-Sep-2026</c:v>
                  </c:pt>
                  <c:pt idx="276">
                    <c:v>13-Sep-2026</c:v>
                  </c:pt>
                  <c:pt idx="277">
                    <c:v>13-Sep-2026</c:v>
                  </c:pt>
                  <c:pt idx="278">
                    <c:v>25-Aug-2026</c:v>
                  </c:pt>
                  <c:pt idx="279">
                    <c:v>15-Aug-2026</c:v>
                  </c:pt>
                  <c:pt idx="280">
                    <c:v>18-Aug-2026</c:v>
                  </c:pt>
                  <c:pt idx="281">
                    <c:v>10-Sep-2026</c:v>
                  </c:pt>
                  <c:pt idx="282">
                    <c:v>04-Sep-2026</c:v>
                  </c:pt>
                  <c:pt idx="283">
                    <c:v>08-Aug-2026</c:v>
                  </c:pt>
                  <c:pt idx="284">
                    <c:v>02-Aug-2026</c:v>
                  </c:pt>
                  <c:pt idx="285">
                    <c:v>04-Sep-2026</c:v>
                  </c:pt>
                  <c:pt idx="286">
                    <c:v>15-Sep-2026</c:v>
                  </c:pt>
                  <c:pt idx="287">
                    <c:v>28-Aug-2026</c:v>
                  </c:pt>
                  <c:pt idx="288">
                    <c:v>08-Sep-2026</c:v>
                  </c:pt>
                  <c:pt idx="289">
                    <c:v>19-Aug-2026</c:v>
                  </c:pt>
                  <c:pt idx="290">
                    <c:v>14-Aug-2026</c:v>
                  </c:pt>
                  <c:pt idx="291">
                    <c:v>30-Aug-2026</c:v>
                  </c:pt>
                  <c:pt idx="292">
                    <c:v>21-Aug-2026</c:v>
                  </c:pt>
                  <c:pt idx="293">
                    <c:v>15-Sep-2026</c:v>
                  </c:pt>
                  <c:pt idx="294">
                    <c:v>04-Sep-2026</c:v>
                  </c:pt>
                  <c:pt idx="295">
                    <c:v>05-Sep-2026</c:v>
                  </c:pt>
                  <c:pt idx="296">
                    <c:v>12-Sep-2026</c:v>
                  </c:pt>
                  <c:pt idx="297">
                    <c:v>15-Aug-2026</c:v>
                  </c:pt>
                  <c:pt idx="298">
                    <c:v>17-Sep-2026</c:v>
                  </c:pt>
                  <c:pt idx="299">
                    <c:v>03-Sep-2026</c:v>
                  </c:pt>
                </c:lvl>
                <c:lvl>
                  <c:pt idx="0">
                    <c:v>O0001</c:v>
                  </c:pt>
                  <c:pt idx="1">
                    <c:v>O0002</c:v>
                  </c:pt>
                  <c:pt idx="2">
                    <c:v>O0003</c:v>
                  </c:pt>
                  <c:pt idx="3">
                    <c:v>O0004</c:v>
                  </c:pt>
                  <c:pt idx="4">
                    <c:v>O0005</c:v>
                  </c:pt>
                  <c:pt idx="5">
                    <c:v>O0006</c:v>
                  </c:pt>
                  <c:pt idx="6">
                    <c:v>O0007</c:v>
                  </c:pt>
                  <c:pt idx="7">
                    <c:v>O0008</c:v>
                  </c:pt>
                  <c:pt idx="8">
                    <c:v>O0009</c:v>
                  </c:pt>
                  <c:pt idx="9">
                    <c:v>O0010</c:v>
                  </c:pt>
                  <c:pt idx="10">
                    <c:v>O0011</c:v>
                  </c:pt>
                  <c:pt idx="11">
                    <c:v>O0012</c:v>
                  </c:pt>
                  <c:pt idx="12">
                    <c:v>O0013</c:v>
                  </c:pt>
                  <c:pt idx="13">
                    <c:v>O0014</c:v>
                  </c:pt>
                  <c:pt idx="14">
                    <c:v>O0015</c:v>
                  </c:pt>
                  <c:pt idx="15">
                    <c:v>O0016</c:v>
                  </c:pt>
                  <c:pt idx="16">
                    <c:v>O0017</c:v>
                  </c:pt>
                  <c:pt idx="17">
                    <c:v>O0018</c:v>
                  </c:pt>
                  <c:pt idx="18">
                    <c:v>O0019</c:v>
                  </c:pt>
                  <c:pt idx="19">
                    <c:v>O0020</c:v>
                  </c:pt>
                  <c:pt idx="20">
                    <c:v>O0021</c:v>
                  </c:pt>
                  <c:pt idx="21">
                    <c:v>O0022</c:v>
                  </c:pt>
                  <c:pt idx="22">
                    <c:v>O0023</c:v>
                  </c:pt>
                  <c:pt idx="23">
                    <c:v>O0024</c:v>
                  </c:pt>
                  <c:pt idx="24">
                    <c:v>O0025</c:v>
                  </c:pt>
                  <c:pt idx="25">
                    <c:v>O0026</c:v>
                  </c:pt>
                  <c:pt idx="26">
                    <c:v>O0027</c:v>
                  </c:pt>
                  <c:pt idx="27">
                    <c:v>O0028</c:v>
                  </c:pt>
                  <c:pt idx="28">
                    <c:v>O0029</c:v>
                  </c:pt>
                  <c:pt idx="29">
                    <c:v>O0030</c:v>
                  </c:pt>
                  <c:pt idx="30">
                    <c:v>O0031</c:v>
                  </c:pt>
                  <c:pt idx="31">
                    <c:v>O0032</c:v>
                  </c:pt>
                  <c:pt idx="32">
                    <c:v>O0033</c:v>
                  </c:pt>
                  <c:pt idx="33">
                    <c:v>O0034</c:v>
                  </c:pt>
                  <c:pt idx="34">
                    <c:v>O0035</c:v>
                  </c:pt>
                  <c:pt idx="35">
                    <c:v>O0036</c:v>
                  </c:pt>
                  <c:pt idx="36">
                    <c:v>O0037</c:v>
                  </c:pt>
                  <c:pt idx="37">
                    <c:v>O0038</c:v>
                  </c:pt>
                  <c:pt idx="38">
                    <c:v>O0039</c:v>
                  </c:pt>
                  <c:pt idx="39">
                    <c:v>O0040</c:v>
                  </c:pt>
                  <c:pt idx="40">
                    <c:v>O0041</c:v>
                  </c:pt>
                  <c:pt idx="41">
                    <c:v>O0042</c:v>
                  </c:pt>
                  <c:pt idx="42">
                    <c:v>O0043</c:v>
                  </c:pt>
                  <c:pt idx="43">
                    <c:v>O0044</c:v>
                  </c:pt>
                  <c:pt idx="44">
                    <c:v>O0045</c:v>
                  </c:pt>
                  <c:pt idx="45">
                    <c:v>O0046</c:v>
                  </c:pt>
                  <c:pt idx="46">
                    <c:v>O0047</c:v>
                  </c:pt>
                  <c:pt idx="47">
                    <c:v>O0048</c:v>
                  </c:pt>
                  <c:pt idx="48">
                    <c:v>O0049</c:v>
                  </c:pt>
                  <c:pt idx="49">
                    <c:v>O0050</c:v>
                  </c:pt>
                  <c:pt idx="50">
                    <c:v>O0051</c:v>
                  </c:pt>
                  <c:pt idx="51">
                    <c:v>O0052</c:v>
                  </c:pt>
                  <c:pt idx="52">
                    <c:v>O0053</c:v>
                  </c:pt>
                  <c:pt idx="53">
                    <c:v>O0054</c:v>
                  </c:pt>
                  <c:pt idx="54">
                    <c:v>O0055</c:v>
                  </c:pt>
                  <c:pt idx="55">
                    <c:v>O0056</c:v>
                  </c:pt>
                  <c:pt idx="56">
                    <c:v>O0057</c:v>
                  </c:pt>
                  <c:pt idx="57">
                    <c:v>O0058</c:v>
                  </c:pt>
                  <c:pt idx="58">
                    <c:v>O0059</c:v>
                  </c:pt>
                  <c:pt idx="59">
                    <c:v>O0060</c:v>
                  </c:pt>
                  <c:pt idx="60">
                    <c:v>O0061</c:v>
                  </c:pt>
                  <c:pt idx="61">
                    <c:v>O0062</c:v>
                  </c:pt>
                  <c:pt idx="62">
                    <c:v>O0063</c:v>
                  </c:pt>
                  <c:pt idx="63">
                    <c:v>O0064</c:v>
                  </c:pt>
                  <c:pt idx="64">
                    <c:v>O0065</c:v>
                  </c:pt>
                  <c:pt idx="65">
                    <c:v>O0066</c:v>
                  </c:pt>
                  <c:pt idx="66">
                    <c:v>O0067</c:v>
                  </c:pt>
                  <c:pt idx="67">
                    <c:v>O0068</c:v>
                  </c:pt>
                  <c:pt idx="68">
                    <c:v>O0069</c:v>
                  </c:pt>
                  <c:pt idx="69">
                    <c:v>O0070</c:v>
                  </c:pt>
                  <c:pt idx="70">
                    <c:v>O0071</c:v>
                  </c:pt>
                  <c:pt idx="71">
                    <c:v>O0072</c:v>
                  </c:pt>
                  <c:pt idx="72">
                    <c:v>O0073</c:v>
                  </c:pt>
                  <c:pt idx="73">
                    <c:v>O0074</c:v>
                  </c:pt>
                  <c:pt idx="74">
                    <c:v>O0075</c:v>
                  </c:pt>
                  <c:pt idx="75">
                    <c:v>O0076</c:v>
                  </c:pt>
                  <c:pt idx="76">
                    <c:v>O0077</c:v>
                  </c:pt>
                  <c:pt idx="77">
                    <c:v>O0078</c:v>
                  </c:pt>
                  <c:pt idx="78">
                    <c:v>O0079</c:v>
                  </c:pt>
                  <c:pt idx="79">
                    <c:v>O0080</c:v>
                  </c:pt>
                  <c:pt idx="80">
                    <c:v>O0081</c:v>
                  </c:pt>
                  <c:pt idx="81">
                    <c:v>O0082</c:v>
                  </c:pt>
                  <c:pt idx="82">
                    <c:v>O0083</c:v>
                  </c:pt>
                  <c:pt idx="83">
                    <c:v>O0084</c:v>
                  </c:pt>
                  <c:pt idx="84">
                    <c:v>O0085</c:v>
                  </c:pt>
                  <c:pt idx="85">
                    <c:v>O0086</c:v>
                  </c:pt>
                  <c:pt idx="86">
                    <c:v>O0087</c:v>
                  </c:pt>
                  <c:pt idx="87">
                    <c:v>O0088</c:v>
                  </c:pt>
                  <c:pt idx="88">
                    <c:v>O0089</c:v>
                  </c:pt>
                  <c:pt idx="89">
                    <c:v>O0090</c:v>
                  </c:pt>
                  <c:pt idx="90">
                    <c:v>O0091</c:v>
                  </c:pt>
                  <c:pt idx="91">
                    <c:v>O0092</c:v>
                  </c:pt>
                  <c:pt idx="92">
                    <c:v>O0093</c:v>
                  </c:pt>
                  <c:pt idx="93">
                    <c:v>O0094</c:v>
                  </c:pt>
                  <c:pt idx="94">
                    <c:v>O0095</c:v>
                  </c:pt>
                  <c:pt idx="95">
                    <c:v>O0096</c:v>
                  </c:pt>
                  <c:pt idx="96">
                    <c:v>O0097</c:v>
                  </c:pt>
                  <c:pt idx="97">
                    <c:v>O0098</c:v>
                  </c:pt>
                  <c:pt idx="98">
                    <c:v>O0099</c:v>
                  </c:pt>
                  <c:pt idx="99">
                    <c:v>O0100</c:v>
                  </c:pt>
                  <c:pt idx="100">
                    <c:v>O0101</c:v>
                  </c:pt>
                  <c:pt idx="101">
                    <c:v>O0102</c:v>
                  </c:pt>
                  <c:pt idx="102">
                    <c:v>O0103</c:v>
                  </c:pt>
                  <c:pt idx="103">
                    <c:v>O0104</c:v>
                  </c:pt>
                  <c:pt idx="104">
                    <c:v>O0105</c:v>
                  </c:pt>
                  <c:pt idx="105">
                    <c:v>O0106</c:v>
                  </c:pt>
                  <c:pt idx="106">
                    <c:v>O0107</c:v>
                  </c:pt>
                  <c:pt idx="107">
                    <c:v>O0108</c:v>
                  </c:pt>
                  <c:pt idx="108">
                    <c:v>O0109</c:v>
                  </c:pt>
                  <c:pt idx="109">
                    <c:v>O0110</c:v>
                  </c:pt>
                  <c:pt idx="110">
                    <c:v>O0111</c:v>
                  </c:pt>
                  <c:pt idx="111">
                    <c:v>O0112</c:v>
                  </c:pt>
                  <c:pt idx="112">
                    <c:v>O0113</c:v>
                  </c:pt>
                  <c:pt idx="113">
                    <c:v>O0114</c:v>
                  </c:pt>
                  <c:pt idx="114">
                    <c:v>O0115</c:v>
                  </c:pt>
                  <c:pt idx="115">
                    <c:v>O0116</c:v>
                  </c:pt>
                  <c:pt idx="116">
                    <c:v>O0117</c:v>
                  </c:pt>
                  <c:pt idx="117">
                    <c:v>O0118</c:v>
                  </c:pt>
                  <c:pt idx="118">
                    <c:v>O0119</c:v>
                  </c:pt>
                  <c:pt idx="119">
                    <c:v>O0120</c:v>
                  </c:pt>
                  <c:pt idx="120">
                    <c:v>O0121</c:v>
                  </c:pt>
                  <c:pt idx="121">
                    <c:v>O0122</c:v>
                  </c:pt>
                  <c:pt idx="122">
                    <c:v>O0123</c:v>
                  </c:pt>
                  <c:pt idx="123">
                    <c:v>O0124</c:v>
                  </c:pt>
                  <c:pt idx="124">
                    <c:v>O0125</c:v>
                  </c:pt>
                  <c:pt idx="125">
                    <c:v>O0126</c:v>
                  </c:pt>
                  <c:pt idx="126">
                    <c:v>O0127</c:v>
                  </c:pt>
                  <c:pt idx="127">
                    <c:v>O0128</c:v>
                  </c:pt>
                  <c:pt idx="128">
                    <c:v>O0129</c:v>
                  </c:pt>
                  <c:pt idx="129">
                    <c:v>O0130</c:v>
                  </c:pt>
                  <c:pt idx="130">
                    <c:v>O0131</c:v>
                  </c:pt>
                  <c:pt idx="131">
                    <c:v>O0132</c:v>
                  </c:pt>
                  <c:pt idx="132">
                    <c:v>O0133</c:v>
                  </c:pt>
                  <c:pt idx="133">
                    <c:v>O0134</c:v>
                  </c:pt>
                  <c:pt idx="134">
                    <c:v>O0135</c:v>
                  </c:pt>
                  <c:pt idx="135">
                    <c:v>O0136</c:v>
                  </c:pt>
                  <c:pt idx="136">
                    <c:v>O0137</c:v>
                  </c:pt>
                  <c:pt idx="137">
                    <c:v>O0138</c:v>
                  </c:pt>
                  <c:pt idx="138">
                    <c:v>O0139</c:v>
                  </c:pt>
                  <c:pt idx="139">
                    <c:v>O0140</c:v>
                  </c:pt>
                  <c:pt idx="140">
                    <c:v>O0141</c:v>
                  </c:pt>
                  <c:pt idx="141">
                    <c:v>O0142</c:v>
                  </c:pt>
                  <c:pt idx="142">
                    <c:v>O0143</c:v>
                  </c:pt>
                  <c:pt idx="143">
                    <c:v>O0144</c:v>
                  </c:pt>
                  <c:pt idx="144">
                    <c:v>O0145</c:v>
                  </c:pt>
                  <c:pt idx="145">
                    <c:v>O0146</c:v>
                  </c:pt>
                  <c:pt idx="146">
                    <c:v>O0147</c:v>
                  </c:pt>
                  <c:pt idx="147">
                    <c:v>O0148</c:v>
                  </c:pt>
                  <c:pt idx="148">
                    <c:v>O0149</c:v>
                  </c:pt>
                  <c:pt idx="149">
                    <c:v>O0150</c:v>
                  </c:pt>
                  <c:pt idx="150">
                    <c:v>O0151</c:v>
                  </c:pt>
                  <c:pt idx="151">
                    <c:v>O0152</c:v>
                  </c:pt>
                  <c:pt idx="152">
                    <c:v>O0153</c:v>
                  </c:pt>
                  <c:pt idx="153">
                    <c:v>O0154</c:v>
                  </c:pt>
                  <c:pt idx="154">
                    <c:v>O0155</c:v>
                  </c:pt>
                  <c:pt idx="155">
                    <c:v>O0156</c:v>
                  </c:pt>
                  <c:pt idx="156">
                    <c:v>O0157</c:v>
                  </c:pt>
                  <c:pt idx="157">
                    <c:v>O0158</c:v>
                  </c:pt>
                  <c:pt idx="158">
                    <c:v>O0159</c:v>
                  </c:pt>
                  <c:pt idx="159">
                    <c:v>O0160</c:v>
                  </c:pt>
                  <c:pt idx="160">
                    <c:v>O0161</c:v>
                  </c:pt>
                  <c:pt idx="161">
                    <c:v>O0162</c:v>
                  </c:pt>
                  <c:pt idx="162">
                    <c:v>O0163</c:v>
                  </c:pt>
                  <c:pt idx="163">
                    <c:v>O0164</c:v>
                  </c:pt>
                  <c:pt idx="164">
                    <c:v>O0165</c:v>
                  </c:pt>
                  <c:pt idx="165">
                    <c:v>O0166</c:v>
                  </c:pt>
                  <c:pt idx="166">
                    <c:v>O0167</c:v>
                  </c:pt>
                  <c:pt idx="167">
                    <c:v>O0168</c:v>
                  </c:pt>
                  <c:pt idx="168">
                    <c:v>O0169</c:v>
                  </c:pt>
                  <c:pt idx="169">
                    <c:v>O0170</c:v>
                  </c:pt>
                  <c:pt idx="170">
                    <c:v>O0171</c:v>
                  </c:pt>
                  <c:pt idx="171">
                    <c:v>O0172</c:v>
                  </c:pt>
                  <c:pt idx="172">
                    <c:v>O0173</c:v>
                  </c:pt>
                  <c:pt idx="173">
                    <c:v>O0174</c:v>
                  </c:pt>
                  <c:pt idx="174">
                    <c:v>O0175</c:v>
                  </c:pt>
                  <c:pt idx="175">
                    <c:v>O0176</c:v>
                  </c:pt>
                  <c:pt idx="176">
                    <c:v>O0177</c:v>
                  </c:pt>
                  <c:pt idx="177">
                    <c:v>O0178</c:v>
                  </c:pt>
                  <c:pt idx="178">
                    <c:v>O0179</c:v>
                  </c:pt>
                  <c:pt idx="179">
                    <c:v>O0180</c:v>
                  </c:pt>
                  <c:pt idx="180">
                    <c:v>O0181</c:v>
                  </c:pt>
                  <c:pt idx="181">
                    <c:v>O0182</c:v>
                  </c:pt>
                  <c:pt idx="182">
                    <c:v>O0183</c:v>
                  </c:pt>
                  <c:pt idx="183">
                    <c:v>O0184</c:v>
                  </c:pt>
                  <c:pt idx="184">
                    <c:v>O0185</c:v>
                  </c:pt>
                  <c:pt idx="185">
                    <c:v>O0186</c:v>
                  </c:pt>
                  <c:pt idx="186">
                    <c:v>O0187</c:v>
                  </c:pt>
                  <c:pt idx="187">
                    <c:v>O0188</c:v>
                  </c:pt>
                  <c:pt idx="188">
                    <c:v>O0189</c:v>
                  </c:pt>
                  <c:pt idx="189">
                    <c:v>O0190</c:v>
                  </c:pt>
                  <c:pt idx="190">
                    <c:v>O0191</c:v>
                  </c:pt>
                  <c:pt idx="191">
                    <c:v>O0192</c:v>
                  </c:pt>
                  <c:pt idx="192">
                    <c:v>O0193</c:v>
                  </c:pt>
                  <c:pt idx="193">
                    <c:v>O0194</c:v>
                  </c:pt>
                  <c:pt idx="194">
                    <c:v>O0195</c:v>
                  </c:pt>
                  <c:pt idx="195">
                    <c:v>O0196</c:v>
                  </c:pt>
                  <c:pt idx="196">
                    <c:v>O0197</c:v>
                  </c:pt>
                  <c:pt idx="197">
                    <c:v>O0198</c:v>
                  </c:pt>
                  <c:pt idx="198">
                    <c:v>O0199</c:v>
                  </c:pt>
                  <c:pt idx="199">
                    <c:v>O0200</c:v>
                  </c:pt>
                  <c:pt idx="200">
                    <c:v>O0201</c:v>
                  </c:pt>
                  <c:pt idx="201">
                    <c:v>O0202</c:v>
                  </c:pt>
                  <c:pt idx="202">
                    <c:v>O0203</c:v>
                  </c:pt>
                  <c:pt idx="203">
                    <c:v>O0204</c:v>
                  </c:pt>
                  <c:pt idx="204">
                    <c:v>O0205</c:v>
                  </c:pt>
                  <c:pt idx="205">
                    <c:v>O0206</c:v>
                  </c:pt>
                  <c:pt idx="206">
                    <c:v>O0207</c:v>
                  </c:pt>
                  <c:pt idx="207">
                    <c:v>O0208</c:v>
                  </c:pt>
                  <c:pt idx="208">
                    <c:v>O0209</c:v>
                  </c:pt>
                  <c:pt idx="209">
                    <c:v>O0210</c:v>
                  </c:pt>
                  <c:pt idx="210">
                    <c:v>O0211</c:v>
                  </c:pt>
                  <c:pt idx="211">
                    <c:v>O0212</c:v>
                  </c:pt>
                  <c:pt idx="212">
                    <c:v>O0213</c:v>
                  </c:pt>
                  <c:pt idx="213">
                    <c:v>O0214</c:v>
                  </c:pt>
                  <c:pt idx="214">
                    <c:v>O0215</c:v>
                  </c:pt>
                  <c:pt idx="215">
                    <c:v>O0216</c:v>
                  </c:pt>
                  <c:pt idx="216">
                    <c:v>O0217</c:v>
                  </c:pt>
                  <c:pt idx="217">
                    <c:v>O0218</c:v>
                  </c:pt>
                  <c:pt idx="218">
                    <c:v>O0219</c:v>
                  </c:pt>
                  <c:pt idx="219">
                    <c:v>O0220</c:v>
                  </c:pt>
                  <c:pt idx="220">
                    <c:v>O0221</c:v>
                  </c:pt>
                  <c:pt idx="221">
                    <c:v>O0222</c:v>
                  </c:pt>
                  <c:pt idx="222">
                    <c:v>O0223</c:v>
                  </c:pt>
                  <c:pt idx="223">
                    <c:v>O0224</c:v>
                  </c:pt>
                  <c:pt idx="224">
                    <c:v>O0225</c:v>
                  </c:pt>
                  <c:pt idx="225">
                    <c:v>O0226</c:v>
                  </c:pt>
                  <c:pt idx="226">
                    <c:v>O0227</c:v>
                  </c:pt>
                  <c:pt idx="227">
                    <c:v>O0228</c:v>
                  </c:pt>
                  <c:pt idx="228">
                    <c:v>O0229</c:v>
                  </c:pt>
                  <c:pt idx="229">
                    <c:v>O0230</c:v>
                  </c:pt>
                  <c:pt idx="230">
                    <c:v>O0231</c:v>
                  </c:pt>
                  <c:pt idx="231">
                    <c:v>O0232</c:v>
                  </c:pt>
                  <c:pt idx="232">
                    <c:v>O0233</c:v>
                  </c:pt>
                  <c:pt idx="233">
                    <c:v>O0234</c:v>
                  </c:pt>
                  <c:pt idx="234">
                    <c:v>O0235</c:v>
                  </c:pt>
                  <c:pt idx="235">
                    <c:v>O0236</c:v>
                  </c:pt>
                  <c:pt idx="236">
                    <c:v>O0237</c:v>
                  </c:pt>
                  <c:pt idx="237">
                    <c:v>O0238</c:v>
                  </c:pt>
                  <c:pt idx="238">
                    <c:v>O0239</c:v>
                  </c:pt>
                  <c:pt idx="239">
                    <c:v>O0240</c:v>
                  </c:pt>
                  <c:pt idx="240">
                    <c:v>O0241</c:v>
                  </c:pt>
                  <c:pt idx="241">
                    <c:v>O0242</c:v>
                  </c:pt>
                  <c:pt idx="242">
                    <c:v>O0243</c:v>
                  </c:pt>
                  <c:pt idx="243">
                    <c:v>O0244</c:v>
                  </c:pt>
                  <c:pt idx="244">
                    <c:v>O0245</c:v>
                  </c:pt>
                  <c:pt idx="245">
                    <c:v>O0246</c:v>
                  </c:pt>
                  <c:pt idx="246">
                    <c:v>O0247</c:v>
                  </c:pt>
                  <c:pt idx="247">
                    <c:v>O0248</c:v>
                  </c:pt>
                  <c:pt idx="248">
                    <c:v>O0249</c:v>
                  </c:pt>
                  <c:pt idx="249">
                    <c:v>O0250</c:v>
                  </c:pt>
                  <c:pt idx="250">
                    <c:v>O0251</c:v>
                  </c:pt>
                  <c:pt idx="251">
                    <c:v>O0252</c:v>
                  </c:pt>
                  <c:pt idx="252">
                    <c:v>O0253</c:v>
                  </c:pt>
                  <c:pt idx="253">
                    <c:v>O0254</c:v>
                  </c:pt>
                  <c:pt idx="254">
                    <c:v>O0255</c:v>
                  </c:pt>
                  <c:pt idx="255">
                    <c:v>O0256</c:v>
                  </c:pt>
                  <c:pt idx="256">
                    <c:v>O0257</c:v>
                  </c:pt>
                  <c:pt idx="257">
                    <c:v>O0258</c:v>
                  </c:pt>
                  <c:pt idx="258">
                    <c:v>O0259</c:v>
                  </c:pt>
                  <c:pt idx="259">
                    <c:v>O0260</c:v>
                  </c:pt>
                  <c:pt idx="260">
                    <c:v>O0261</c:v>
                  </c:pt>
                  <c:pt idx="261">
                    <c:v>O0262</c:v>
                  </c:pt>
                  <c:pt idx="262">
                    <c:v>O0263</c:v>
                  </c:pt>
                  <c:pt idx="263">
                    <c:v>O0264</c:v>
                  </c:pt>
                  <c:pt idx="264">
                    <c:v>O0265</c:v>
                  </c:pt>
                  <c:pt idx="265">
                    <c:v>O0266</c:v>
                  </c:pt>
                  <c:pt idx="266">
                    <c:v>O0267</c:v>
                  </c:pt>
                  <c:pt idx="267">
                    <c:v>O0268</c:v>
                  </c:pt>
                  <c:pt idx="268">
                    <c:v>O0269</c:v>
                  </c:pt>
                  <c:pt idx="269">
                    <c:v>O0270</c:v>
                  </c:pt>
                  <c:pt idx="270">
                    <c:v>O0271</c:v>
                  </c:pt>
                  <c:pt idx="271">
                    <c:v>O0272</c:v>
                  </c:pt>
                  <c:pt idx="272">
                    <c:v>O0273</c:v>
                  </c:pt>
                  <c:pt idx="273">
                    <c:v>O0274</c:v>
                  </c:pt>
                  <c:pt idx="274">
                    <c:v>O0275</c:v>
                  </c:pt>
                  <c:pt idx="275">
                    <c:v>O0276</c:v>
                  </c:pt>
                  <c:pt idx="276">
                    <c:v>O0277</c:v>
                  </c:pt>
                  <c:pt idx="277">
                    <c:v>O0278</c:v>
                  </c:pt>
                  <c:pt idx="278">
                    <c:v>O0279</c:v>
                  </c:pt>
                  <c:pt idx="279">
                    <c:v>O0280</c:v>
                  </c:pt>
                  <c:pt idx="280">
                    <c:v>O0281</c:v>
                  </c:pt>
                  <c:pt idx="281">
                    <c:v>O0282</c:v>
                  </c:pt>
                  <c:pt idx="282">
                    <c:v>O0283</c:v>
                  </c:pt>
                  <c:pt idx="283">
                    <c:v>O0284</c:v>
                  </c:pt>
                  <c:pt idx="284">
                    <c:v>O0285</c:v>
                  </c:pt>
                  <c:pt idx="285">
                    <c:v>O0286</c:v>
                  </c:pt>
                  <c:pt idx="286">
                    <c:v>O0287</c:v>
                  </c:pt>
                  <c:pt idx="287">
                    <c:v>O0288</c:v>
                  </c:pt>
                  <c:pt idx="288">
                    <c:v>O0289</c:v>
                  </c:pt>
                  <c:pt idx="289">
                    <c:v>O0290</c:v>
                  </c:pt>
                  <c:pt idx="290">
                    <c:v>O0291</c:v>
                  </c:pt>
                  <c:pt idx="291">
                    <c:v>O0292</c:v>
                  </c:pt>
                  <c:pt idx="292">
                    <c:v>O0293</c:v>
                  </c:pt>
                  <c:pt idx="293">
                    <c:v>O0294</c:v>
                  </c:pt>
                  <c:pt idx="294">
                    <c:v>O0295</c:v>
                  </c:pt>
                  <c:pt idx="295">
                    <c:v>O0296</c:v>
                  </c:pt>
                  <c:pt idx="296">
                    <c:v>O0297</c:v>
                  </c:pt>
                  <c:pt idx="297">
                    <c:v>O0298</c:v>
                  </c:pt>
                  <c:pt idx="298">
                    <c:v>O0299</c:v>
                  </c:pt>
                  <c:pt idx="299">
                    <c:v>O0300</c:v>
                  </c:pt>
                </c:lvl>
              </c:multiLvlStrCache>
            </c:multiLvlStrRef>
          </c:cat>
          <c:val>
            <c:numRef>
              <c:f>'Cleaned Data'!$U$2:$U$301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1</c:v>
                </c:pt>
                <c:pt idx="230">
                  <c:v>1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1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F5-4F2F-9FF8-6E808D4A5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984135"/>
        <c:axId val="47981575"/>
      </c:lineChart>
      <c:catAx>
        <c:axId val="47984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81575"/>
        <c:crosses val="autoZero"/>
        <c:auto val="1"/>
        <c:lblAlgn val="ctr"/>
        <c:lblOffset val="100"/>
        <c:noMultiLvlLbl val="0"/>
      </c:catAx>
      <c:valAx>
        <c:axId val="479815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84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Analysis!$A$14:$A$18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Grocery</c:v>
                </c:pt>
                <c:pt idx="3">
                  <c:v>Home &amp; Kitchen</c:v>
                </c:pt>
                <c:pt idx="4">
                  <c:v>Beauty</c:v>
                </c:pt>
              </c:strCache>
            </c:strRef>
          </c:cat>
          <c:val>
            <c:numRef>
              <c:f>Analysis!$B$14:$B$18</c:f>
              <c:numCache>
                <c:formatCode>General</c:formatCode>
                <c:ptCount val="5"/>
                <c:pt idx="0">
                  <c:v>60</c:v>
                </c:pt>
                <c:pt idx="1">
                  <c:v>57</c:v>
                </c:pt>
                <c:pt idx="2">
                  <c:v>66</c:v>
                </c:pt>
                <c:pt idx="3">
                  <c:v>59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3-46B9-BB17-5CBB7E5A937A}"/>
            </c:ext>
          </c:extLst>
        </c:ser>
        <c:ser>
          <c:idx val="1"/>
          <c:order val="1"/>
          <c:tx>
            <c:strRef>
              <c:f>Analysis!$C$13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Analysis!$A$14:$A$18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Grocery</c:v>
                </c:pt>
                <c:pt idx="3">
                  <c:v>Home &amp; Kitchen</c:v>
                </c:pt>
                <c:pt idx="4">
                  <c:v>Beauty</c:v>
                </c:pt>
              </c:strCache>
            </c:strRef>
          </c:cat>
          <c:val>
            <c:numRef>
              <c:f>Analysis!$C$14:$C$18</c:f>
              <c:numCache>
                <c:formatCode>General</c:formatCode>
                <c:ptCount val="5"/>
                <c:pt idx="0">
                  <c:v>233466.8</c:v>
                </c:pt>
                <c:pt idx="1">
                  <c:v>84588.349999999991</c:v>
                </c:pt>
                <c:pt idx="2">
                  <c:v>52729.85</c:v>
                </c:pt>
                <c:pt idx="3">
                  <c:v>137168.95000000001</c:v>
                </c:pt>
                <c:pt idx="4">
                  <c:v>74351.55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83-46B9-BB17-5CBB7E5A9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0465031"/>
        <c:axId val="1350479879"/>
      </c:barChart>
      <c:catAx>
        <c:axId val="1350465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79879"/>
        <c:crosses val="autoZero"/>
        <c:auto val="1"/>
        <c:lblAlgn val="ctr"/>
        <c:lblOffset val="100"/>
        <c:noMultiLvlLbl val="0"/>
      </c:catAx>
      <c:valAx>
        <c:axId val="1350479879"/>
        <c:scaling>
          <c:orientation val="minMax"/>
          <c:max val="2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65031"/>
        <c:crosses val="autoZero"/>
        <c:crossBetween val="between"/>
        <c:majorUnit val="50000"/>
        <c:min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Analysis!$A$22:$A$23</c:f>
              <c:strCache>
                <c:ptCount val="2"/>
                <c:pt idx="0">
                  <c:v>ON TIME</c:v>
                </c:pt>
                <c:pt idx="1">
                  <c:v>Late</c:v>
                </c:pt>
              </c:strCache>
            </c:strRef>
          </c:cat>
          <c:val>
            <c:numRef>
              <c:f>Analysis!$B$22:$B$23</c:f>
              <c:numCache>
                <c:formatCode>0.00</c:formatCode>
                <c:ptCount val="2"/>
                <c:pt idx="0">
                  <c:v>4.4896907216494846</c:v>
                </c:pt>
                <c:pt idx="1">
                  <c:v>3.3773584905660377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2-4685-80D8-6EAE1C7C4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1916167"/>
        <c:axId val="1261918215"/>
      </c:barChart>
      <c:catAx>
        <c:axId val="1261916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918215"/>
        <c:crosses val="autoZero"/>
        <c:auto val="1"/>
        <c:lblAlgn val="ctr"/>
        <c:lblOffset val="100"/>
        <c:noMultiLvlLbl val="0"/>
      </c:catAx>
      <c:valAx>
        <c:axId val="1261918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916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 Delivery Rate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Analysis!$I$13</c:f>
              <c:strCache>
                <c:ptCount val="1"/>
                <c:pt idx="0">
                  <c:v>Avg Delivery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Analysis!$H$14:$H$20</c:f>
              <c:strCache>
                <c:ptCount val="7"/>
                <c:pt idx="0">
                  <c:v>Bengaluru</c:v>
                </c:pt>
                <c:pt idx="1">
                  <c:v>Mumbai</c:v>
                </c:pt>
                <c:pt idx="2">
                  <c:v>Delhi</c:v>
                </c:pt>
                <c:pt idx="3">
                  <c:v>Hyderabad</c:v>
                </c:pt>
                <c:pt idx="4">
                  <c:v>Chennai</c:v>
                </c:pt>
                <c:pt idx="5">
                  <c:v>Pune</c:v>
                </c:pt>
                <c:pt idx="6">
                  <c:v>Kolkata</c:v>
                </c:pt>
              </c:strCache>
            </c:strRef>
          </c:cat>
          <c:val>
            <c:numRef>
              <c:f>Analysis!$I$14:$I$20</c:f>
              <c:numCache>
                <c:formatCode>General</c:formatCode>
                <c:ptCount val="7"/>
                <c:pt idx="0">
                  <c:v>2.8536585365853657</c:v>
                </c:pt>
                <c:pt idx="1">
                  <c:v>2.9428571428571431</c:v>
                </c:pt>
                <c:pt idx="2">
                  <c:v>3.2653061224489797</c:v>
                </c:pt>
                <c:pt idx="3">
                  <c:v>3</c:v>
                </c:pt>
                <c:pt idx="4">
                  <c:v>3.1</c:v>
                </c:pt>
                <c:pt idx="5">
                  <c:v>2.6857142857142855</c:v>
                </c:pt>
                <c:pt idx="6">
                  <c:v>2.9107142857142856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6-471C-9E76-CBBA81F23D88}"/>
            </c:ext>
          </c:extLst>
        </c:ser>
        <c:ser>
          <c:idx val="1"/>
          <c:order val="1"/>
          <c:tx>
            <c:strRef>
              <c:f>Analysis!$J$13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Analysis!$H$14:$H$20</c:f>
              <c:strCache>
                <c:ptCount val="7"/>
                <c:pt idx="0">
                  <c:v>Bengaluru</c:v>
                </c:pt>
                <c:pt idx="1">
                  <c:v>Mumbai</c:v>
                </c:pt>
                <c:pt idx="2">
                  <c:v>Delhi</c:v>
                </c:pt>
                <c:pt idx="3">
                  <c:v>Hyderabad</c:v>
                </c:pt>
                <c:pt idx="4">
                  <c:v>Chennai</c:v>
                </c:pt>
                <c:pt idx="5">
                  <c:v>Pune</c:v>
                </c:pt>
                <c:pt idx="6">
                  <c:v>Kolkata</c:v>
                </c:pt>
              </c:strCache>
            </c:strRef>
          </c:cat>
          <c:val>
            <c:numRef>
              <c:f>Analysis!$J$14:$J$20</c:f>
              <c:numCache>
                <c:formatCode>General</c:formatCode>
                <c:ptCount val="7"/>
                <c:pt idx="0">
                  <c:v>4.1463414634146343</c:v>
                </c:pt>
                <c:pt idx="1">
                  <c:v>3.9714285714285715</c:v>
                </c:pt>
                <c:pt idx="2">
                  <c:v>4.0612244897959187</c:v>
                </c:pt>
                <c:pt idx="3">
                  <c:v>3.8863636363636362</c:v>
                </c:pt>
                <c:pt idx="4">
                  <c:v>4.1500000000000004</c:v>
                </c:pt>
                <c:pt idx="5">
                  <c:v>4.3142857142857141</c:v>
                </c:pt>
                <c:pt idx="6">
                  <c:v>4.1607142857142856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66-471C-9E76-CBBA81F23D88}"/>
            </c:ext>
          </c:extLst>
        </c:ser>
        <c:ser>
          <c:idx val="2"/>
          <c:order val="2"/>
          <c:tx>
            <c:strRef>
              <c:f>Analysis!$K$13</c:f>
              <c:strCache>
                <c:ptCount val="1"/>
                <c:pt idx="0">
                  <c:v>Late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Analysis!$H$14:$H$20</c:f>
              <c:strCache>
                <c:ptCount val="7"/>
                <c:pt idx="0">
                  <c:v>Bengaluru</c:v>
                </c:pt>
                <c:pt idx="1">
                  <c:v>Mumbai</c:v>
                </c:pt>
                <c:pt idx="2">
                  <c:v>Delhi</c:v>
                </c:pt>
                <c:pt idx="3">
                  <c:v>Hyderabad</c:v>
                </c:pt>
                <c:pt idx="4">
                  <c:v>Chennai</c:v>
                </c:pt>
                <c:pt idx="5">
                  <c:v>Pune</c:v>
                </c:pt>
                <c:pt idx="6">
                  <c:v>Kolkata</c:v>
                </c:pt>
              </c:strCache>
            </c:strRef>
          </c:cat>
          <c:val>
            <c:numRef>
              <c:f>Analysis!$K$14:$K$20</c:f>
              <c:numCache>
                <c:formatCode>0.00%</c:formatCode>
                <c:ptCount val="7"/>
                <c:pt idx="0">
                  <c:v>0.36585365853658536</c:v>
                </c:pt>
                <c:pt idx="1">
                  <c:v>0.37142857142857144</c:v>
                </c:pt>
                <c:pt idx="2">
                  <c:v>0.42857142857142855</c:v>
                </c:pt>
                <c:pt idx="3">
                  <c:v>0.34090909090909088</c:v>
                </c:pt>
                <c:pt idx="4">
                  <c:v>0.35</c:v>
                </c:pt>
                <c:pt idx="5">
                  <c:v>0.22857142857142856</c:v>
                </c:pt>
                <c:pt idx="6">
                  <c:v>0.35714285714285715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66-471C-9E76-CBBA81F23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2048519"/>
        <c:axId val="1882058759"/>
      </c:barChart>
      <c:catAx>
        <c:axId val="1882048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058759"/>
        <c:crosses val="autoZero"/>
        <c:auto val="1"/>
        <c:lblAlgn val="ctr"/>
        <c:lblOffset val="100"/>
        <c:noMultiLvlLbl val="0"/>
      </c:catAx>
      <c:valAx>
        <c:axId val="1882058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048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Analysis!$A$14:$A$18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Grocery</c:v>
                </c:pt>
                <c:pt idx="3">
                  <c:v>Home &amp; Kitchen</c:v>
                </c:pt>
                <c:pt idx="4">
                  <c:v>Beauty</c:v>
                </c:pt>
              </c:strCache>
            </c:strRef>
          </c:cat>
          <c:val>
            <c:numRef>
              <c:f>Analysis!$B$14:$B$18</c:f>
              <c:numCache>
                <c:formatCode>General</c:formatCode>
                <c:ptCount val="5"/>
                <c:pt idx="0">
                  <c:v>60</c:v>
                </c:pt>
                <c:pt idx="1">
                  <c:v>57</c:v>
                </c:pt>
                <c:pt idx="2">
                  <c:v>66</c:v>
                </c:pt>
                <c:pt idx="3">
                  <c:v>59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82-43C5-A1D0-081EE77C037F}"/>
            </c:ext>
          </c:extLst>
        </c:ser>
        <c:ser>
          <c:idx val="1"/>
          <c:order val="1"/>
          <c:tx>
            <c:strRef>
              <c:f>Analysis!$C$13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Analysis!$A$14:$A$18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Grocery</c:v>
                </c:pt>
                <c:pt idx="3">
                  <c:v>Home &amp; Kitchen</c:v>
                </c:pt>
                <c:pt idx="4">
                  <c:v>Beauty</c:v>
                </c:pt>
              </c:strCache>
            </c:strRef>
          </c:cat>
          <c:val>
            <c:numRef>
              <c:f>Analysis!$C$14:$C$18</c:f>
              <c:numCache>
                <c:formatCode>General</c:formatCode>
                <c:ptCount val="5"/>
                <c:pt idx="0">
                  <c:v>233466.8</c:v>
                </c:pt>
                <c:pt idx="1">
                  <c:v>84588.349999999991</c:v>
                </c:pt>
                <c:pt idx="2">
                  <c:v>52729.85</c:v>
                </c:pt>
                <c:pt idx="3">
                  <c:v>137168.95000000001</c:v>
                </c:pt>
                <c:pt idx="4">
                  <c:v>74351.55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82-43C5-A1D0-081EE77C0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0465031"/>
        <c:axId val="1350479879"/>
      </c:barChart>
      <c:catAx>
        <c:axId val="1350465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79879"/>
        <c:crosses val="autoZero"/>
        <c:auto val="1"/>
        <c:lblAlgn val="ctr"/>
        <c:lblOffset val="100"/>
        <c:noMultiLvlLbl val="0"/>
      </c:catAx>
      <c:valAx>
        <c:axId val="1350479879"/>
        <c:scaling>
          <c:orientation val="minMax"/>
          <c:max val="2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65031"/>
        <c:crosses val="autoZero"/>
        <c:crossBetween val="between"/>
        <c:majorUnit val="50000"/>
        <c:min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Analysis!$A$22:$A$23</c:f>
              <c:strCache>
                <c:ptCount val="2"/>
                <c:pt idx="0">
                  <c:v>ON TIME</c:v>
                </c:pt>
                <c:pt idx="1">
                  <c:v>Late</c:v>
                </c:pt>
              </c:strCache>
            </c:strRef>
          </c:cat>
          <c:val>
            <c:numRef>
              <c:f>Analysis!$B$22:$B$23</c:f>
              <c:numCache>
                <c:formatCode>0.00</c:formatCode>
                <c:ptCount val="2"/>
                <c:pt idx="0">
                  <c:v>4.4896907216494846</c:v>
                </c:pt>
                <c:pt idx="1">
                  <c:v>3.3773584905660377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C-4700-9161-D4E9E127F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1916167"/>
        <c:axId val="1261918215"/>
      </c:barChart>
      <c:catAx>
        <c:axId val="1261916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918215"/>
        <c:crosses val="autoZero"/>
        <c:auto val="1"/>
        <c:lblAlgn val="ctr"/>
        <c:lblOffset val="100"/>
        <c:noMultiLvlLbl val="0"/>
      </c:catAx>
      <c:valAx>
        <c:axId val="1261918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916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 Delivery Rate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Analysis!$I$13</c:f>
              <c:strCache>
                <c:ptCount val="1"/>
                <c:pt idx="0">
                  <c:v>Avg Delivery 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Analysis!$H$14:$H$20</c:f>
              <c:strCache>
                <c:ptCount val="7"/>
                <c:pt idx="0">
                  <c:v>Bengaluru</c:v>
                </c:pt>
                <c:pt idx="1">
                  <c:v>Mumbai</c:v>
                </c:pt>
                <c:pt idx="2">
                  <c:v>Delhi</c:v>
                </c:pt>
                <c:pt idx="3">
                  <c:v>Hyderabad</c:v>
                </c:pt>
                <c:pt idx="4">
                  <c:v>Chennai</c:v>
                </c:pt>
                <c:pt idx="5">
                  <c:v>Pune</c:v>
                </c:pt>
                <c:pt idx="6">
                  <c:v>Kolkata</c:v>
                </c:pt>
              </c:strCache>
            </c:strRef>
          </c:cat>
          <c:val>
            <c:numRef>
              <c:f>Analysis!$I$14:$I$20</c:f>
              <c:numCache>
                <c:formatCode>General</c:formatCode>
                <c:ptCount val="7"/>
                <c:pt idx="0">
                  <c:v>2.8536585365853657</c:v>
                </c:pt>
                <c:pt idx="1">
                  <c:v>2.9428571428571431</c:v>
                </c:pt>
                <c:pt idx="2">
                  <c:v>3.2653061224489797</c:v>
                </c:pt>
                <c:pt idx="3">
                  <c:v>3</c:v>
                </c:pt>
                <c:pt idx="4">
                  <c:v>3.1</c:v>
                </c:pt>
                <c:pt idx="5">
                  <c:v>2.6857142857142855</c:v>
                </c:pt>
                <c:pt idx="6">
                  <c:v>2.9107142857142856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0-4507-853D-F9DD62D83CE6}"/>
            </c:ext>
          </c:extLst>
        </c:ser>
        <c:ser>
          <c:idx val="1"/>
          <c:order val="1"/>
          <c:tx>
            <c:strRef>
              <c:f>Analysis!$J$13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Analysis!$H$14:$H$20</c:f>
              <c:strCache>
                <c:ptCount val="7"/>
                <c:pt idx="0">
                  <c:v>Bengaluru</c:v>
                </c:pt>
                <c:pt idx="1">
                  <c:v>Mumbai</c:v>
                </c:pt>
                <c:pt idx="2">
                  <c:v>Delhi</c:v>
                </c:pt>
                <c:pt idx="3">
                  <c:v>Hyderabad</c:v>
                </c:pt>
                <c:pt idx="4">
                  <c:v>Chennai</c:v>
                </c:pt>
                <c:pt idx="5">
                  <c:v>Pune</c:v>
                </c:pt>
                <c:pt idx="6">
                  <c:v>Kolkata</c:v>
                </c:pt>
              </c:strCache>
            </c:strRef>
          </c:cat>
          <c:val>
            <c:numRef>
              <c:f>Analysis!$J$14:$J$20</c:f>
              <c:numCache>
                <c:formatCode>General</c:formatCode>
                <c:ptCount val="7"/>
                <c:pt idx="0">
                  <c:v>4.1463414634146343</c:v>
                </c:pt>
                <c:pt idx="1">
                  <c:v>3.9714285714285715</c:v>
                </c:pt>
                <c:pt idx="2">
                  <c:v>4.0612244897959187</c:v>
                </c:pt>
                <c:pt idx="3">
                  <c:v>3.8863636363636362</c:v>
                </c:pt>
                <c:pt idx="4">
                  <c:v>4.1500000000000004</c:v>
                </c:pt>
                <c:pt idx="5">
                  <c:v>4.3142857142857141</c:v>
                </c:pt>
                <c:pt idx="6">
                  <c:v>4.1607142857142856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60-4507-853D-F9DD62D83CE6}"/>
            </c:ext>
          </c:extLst>
        </c:ser>
        <c:ser>
          <c:idx val="2"/>
          <c:order val="2"/>
          <c:tx>
            <c:strRef>
              <c:f>Analysis!$K$13</c:f>
              <c:strCache>
                <c:ptCount val="1"/>
                <c:pt idx="0">
                  <c:v>Late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Analysis!$H$14:$H$20</c:f>
              <c:strCache>
                <c:ptCount val="7"/>
                <c:pt idx="0">
                  <c:v>Bengaluru</c:v>
                </c:pt>
                <c:pt idx="1">
                  <c:v>Mumbai</c:v>
                </c:pt>
                <c:pt idx="2">
                  <c:v>Delhi</c:v>
                </c:pt>
                <c:pt idx="3">
                  <c:v>Hyderabad</c:v>
                </c:pt>
                <c:pt idx="4">
                  <c:v>Chennai</c:v>
                </c:pt>
                <c:pt idx="5">
                  <c:v>Pune</c:v>
                </c:pt>
                <c:pt idx="6">
                  <c:v>Kolkata</c:v>
                </c:pt>
              </c:strCache>
            </c:strRef>
          </c:cat>
          <c:val>
            <c:numRef>
              <c:f>Analysis!$K$14:$K$20</c:f>
              <c:numCache>
                <c:formatCode>0.00%</c:formatCode>
                <c:ptCount val="7"/>
                <c:pt idx="0">
                  <c:v>0.36585365853658536</c:v>
                </c:pt>
                <c:pt idx="1">
                  <c:v>0.37142857142857144</c:v>
                </c:pt>
                <c:pt idx="2">
                  <c:v>0.42857142857142855</c:v>
                </c:pt>
                <c:pt idx="3">
                  <c:v>0.34090909090909088</c:v>
                </c:pt>
                <c:pt idx="4">
                  <c:v>0.35</c:v>
                </c:pt>
                <c:pt idx="5">
                  <c:v>0.22857142857142856</c:v>
                </c:pt>
                <c:pt idx="6">
                  <c:v>0.35714285714285715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60-4507-853D-F9DD62D83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2048519"/>
        <c:axId val="1882058759"/>
      </c:barChart>
      <c:catAx>
        <c:axId val="1882048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058759"/>
        <c:crosses val="autoZero"/>
        <c:auto val="1"/>
        <c:lblAlgn val="ctr"/>
        <c:lblOffset val="100"/>
        <c:noMultiLvlLbl val="0"/>
      </c:catAx>
      <c:valAx>
        <c:axId val="1882058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048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419100</xdr:colOff>
      <xdr:row>0</xdr:row>
      <xdr:rowOff>0</xdr:rowOff>
    </xdr:from>
    <xdr:to>
      <xdr:col>32</xdr:col>
      <xdr:colOff>66675</xdr:colOff>
      <xdr:row>27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75BD5C-7FBA-C299-D006-3E298C9B4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27</xdr:row>
      <xdr:rowOff>19050</xdr:rowOff>
    </xdr:from>
    <xdr:to>
      <xdr:col>3</xdr:col>
      <xdr:colOff>523875</xdr:colOff>
      <xdr:row>42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FC1A66-DBD8-4CEE-CBD5-476362B25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704850</xdr:colOff>
      <xdr:row>24</xdr:row>
      <xdr:rowOff>19050</xdr:rowOff>
    </xdr:from>
    <xdr:to>
      <xdr:col>8</xdr:col>
      <xdr:colOff>476250</xdr:colOff>
      <xdr:row>39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A4A0CF-B200-E101-06AA-07280F690F76}"/>
            </a:ext>
            <a:ext uri="{147F2762-F138-4A5C-976F-8EAC2B608ADB}">
              <a16:predDERef xmlns:a16="http://schemas.microsoft.com/office/drawing/2014/main" pred="{B2FC1A66-DBD8-4CEE-CBD5-476362B25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666750</xdr:colOff>
      <xdr:row>40</xdr:row>
      <xdr:rowOff>57150</xdr:rowOff>
    </xdr:from>
    <xdr:to>
      <xdr:col>8</xdr:col>
      <xdr:colOff>438150</xdr:colOff>
      <xdr:row>55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5597DB-A2A9-A5AA-0DE4-6D7E18F175EA}"/>
            </a:ext>
            <a:ext uri="{147F2762-F138-4A5C-976F-8EAC2B608ADB}">
              <a16:predDERef xmlns:a16="http://schemas.microsoft.com/office/drawing/2014/main" pred="{82A4A0CF-B200-E101-06AA-07280F690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3</xdr:row>
      <xdr:rowOff>57150</xdr:rowOff>
    </xdr:from>
    <xdr:to>
      <xdr:col>4</xdr:col>
      <xdr:colOff>666750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D17CA2-3DFC-4924-961A-C9CB50E96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800100</xdr:colOff>
      <xdr:row>3</xdr:row>
      <xdr:rowOff>142875</xdr:rowOff>
    </xdr:from>
    <xdr:to>
      <xdr:col>10</xdr:col>
      <xdr:colOff>219075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50713F-81BF-43F7-9AE4-413A9878E2F3}"/>
            </a:ext>
            <a:ext uri="{147F2762-F138-4A5C-976F-8EAC2B608ADB}">
              <a16:predDERef xmlns:a16="http://schemas.microsoft.com/office/drawing/2014/main" pred="{74D17CA2-3DFC-4924-961A-C9CB50E96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628650</xdr:colOff>
      <xdr:row>19</xdr:row>
      <xdr:rowOff>85725</xdr:rowOff>
    </xdr:from>
    <xdr:to>
      <xdr:col>6</xdr:col>
      <xdr:colOff>381000</xdr:colOff>
      <xdr:row>34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8A3EB6-4970-4F20-9937-36C70520897B}"/>
            </a:ext>
            <a:ext uri="{147F2762-F138-4A5C-976F-8EAC2B608ADB}">
              <a16:predDERef xmlns:a16="http://schemas.microsoft.com/office/drawing/2014/main" pred="{2550713F-81BF-43F7-9AE4-413A9878E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Orders" displayName="RawOrders" ref="A4:O307" totalsRowShown="0">
  <tableColumns count="15">
    <tableColumn id="1" xr3:uid="{00000000-0010-0000-0000-000001000000}" name="Order ID"/>
    <tableColumn id="2" xr3:uid="{00000000-0010-0000-0000-000002000000}" name="Order Date"/>
    <tableColumn id="3" xr3:uid="{00000000-0010-0000-0000-000003000000}" name="Category"/>
    <tableColumn id="4" xr3:uid="{00000000-0010-0000-0000-000004000000}" name="City"/>
    <tableColumn id="5" xr3:uid="{00000000-0010-0000-0000-000005000000}" name="Customer Age"/>
    <tableColumn id="6" xr3:uid="{00000000-0010-0000-0000-000006000000}" name="Order Value (₹)"/>
    <tableColumn id="7" xr3:uid="{00000000-0010-0000-0000-000007000000}" name="Discount (%)"/>
    <tableColumn id="8" xr3:uid="{00000000-0010-0000-0000-000008000000}" name="Expected Days"/>
    <tableColumn id="9" xr3:uid="{00000000-0010-0000-0000-000009000000}" name="Actual Days"/>
    <tableColumn id="10" xr3:uid="{00000000-0010-0000-0000-00000A000000}" name="Payment Method"/>
    <tableColumn id="11" xr3:uid="{00000000-0010-0000-0000-00000B000000}" name="Rating"/>
    <tableColumn id="12" xr3:uid="{00000000-0010-0000-0000-00000C000000}" name="Cancelled"/>
    <tableColumn id="13" xr3:uid="{00000000-0010-0000-0000-00000D000000}" name="Returned"/>
    <tableColumn id="14" xr3:uid="{00000000-0010-0000-0000-00000E000000}" name="Distance (KM)" dataDxfId="11"/>
    <tableColumn id="15" xr3:uid="{00000000-0010-0000-0000-00000F000000}" name="Customer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348815-0B1B-41AB-A31E-1B394E8576A8}" name="RawOrders3" displayName="RawOrders3" ref="A1:U301" totalsRowShown="0">
  <tableColumns count="21">
    <tableColumn id="1" xr3:uid="{474AEF57-3A88-4DE8-A6FC-F9EFC957B676}" name="Order ID"/>
    <tableColumn id="2" xr3:uid="{E10140F3-823F-46B5-ACB6-9D1344054C21}" name="Order Date"/>
    <tableColumn id="3" xr3:uid="{9E6434A7-2547-4142-8848-A694E840AB2B}" name="Category"/>
    <tableColumn id="4" xr3:uid="{DFB1ED74-4507-4A18-A153-A3AB12498B76}" name="City"/>
    <tableColumn id="5" xr3:uid="{78F8B5E4-2F20-43CB-A377-0E418733C272}" name="Customer Age"/>
    <tableColumn id="6" xr3:uid="{A5091ACD-A214-4B79-B69D-6FF75CAEE5E0}" name="Order Value (₹)"/>
    <tableColumn id="7" xr3:uid="{4C30FAD6-0121-48FA-A1DE-666D82B732E3}" name="Discount (%)"/>
    <tableColumn id="8" xr3:uid="{1E499B1B-FE4B-48D4-8F28-EB8726621A44}" name="Expected Days"/>
    <tableColumn id="9" xr3:uid="{22FDA01D-71A0-4DEE-84D7-CEFA2279AE59}" name="Actual Days"/>
    <tableColumn id="10" xr3:uid="{B678563F-CD4B-492F-B0C0-49CBD34C30DD}" name="Payment Method"/>
    <tableColumn id="11" xr3:uid="{107EF494-5823-4A06-90E8-C9A049F69810}" name="Rating"/>
    <tableColumn id="12" xr3:uid="{A1EE7C43-D0BF-48CC-9CF4-D5F01842E23C}" name="Cancelled"/>
    <tableColumn id="13" xr3:uid="{1036803F-7741-4358-8622-78A165E03CCC}" name="Returned"/>
    <tableColumn id="14" xr3:uid="{677F7DA0-46E7-4D13-8BFA-0CC2694C0F36}" name="Distance (KM)"/>
    <tableColumn id="15" xr3:uid="{7EBED1D9-FED8-44BB-8665-63F5A066647C}" name="Customer Type"/>
    <tableColumn id="16" xr3:uid="{A8917245-4AF4-4DCC-9705-27442D8BA93E}" name="Delivery Status">
      <calculatedColumnFormula>IF(I2&gt;H2,"Late","On Time")</calculatedColumnFormula>
    </tableColumn>
    <tableColumn id="17" xr3:uid="{C6316D48-58EC-4309-B0AF-C025489C83C2}" name="Delay Days" dataDxfId="8">
      <calculatedColumnFormula>MAX(0,I2-H2)</calculatedColumnFormula>
    </tableColumn>
    <tableColumn id="18" xr3:uid="{A080E2E3-BA63-4425-BB89-2B05B08C8F47}" name="Rating Band" dataDxfId="7">
      <calculatedColumnFormula>IF(K2&gt;=4,"High",IF(K2=3,"Medium","Low"))</calculatedColumnFormula>
    </tableColumn>
    <tableColumn id="19" xr3:uid="{7B3AF268-67EB-4F6F-831C-B82A9C063B79}" name="Order Outcome" dataDxfId="6">
      <calculatedColumnFormula>IF(L2="Yes","Cancelled",IF(M2="Yes","Returned","Completed"))</calculatedColumnFormula>
    </tableColumn>
    <tableColumn id="20" xr3:uid="{A6E23DF3-1AAA-40BE-B4B3-2EFB093C637B}" name="Net Sales" dataDxfId="5">
      <calculatedColumnFormula>F2*(1-G2/100)</calculatedColumnFormula>
    </tableColumn>
    <tableColumn id="21" xr3:uid="{E4791A9C-503F-4455-83CA-C054EE8E9C05}" name="Late Flag" dataDxfId="4">
      <calculatedColumnFormula>IF(P2="Late",1,0)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89CB13-E157-4067-B9A3-D92AFF7CEE67}" name="Table3" displayName="Table3" ref="A1:F2" totalsRowShown="0">
  <autoFilter ref="A1:F2" xr:uid="{6789CB13-E157-4067-B9A3-D92AFF7CEE67}"/>
  <tableColumns count="6">
    <tableColumn id="1" xr3:uid="{EF40157A-B679-417B-AD17-17908B96C765}" name="TOTAL ORDERS">
      <calculatedColumnFormula>Analysis!B4</calculatedColumnFormula>
    </tableColumn>
    <tableColumn id="2" xr3:uid="{178B9D9B-F425-4728-B389-0C3BC79C3B3A}" name="NET SALES">
      <calculatedColumnFormula>Analysis!B5</calculatedColumnFormula>
    </tableColumn>
    <tableColumn id="3" xr3:uid="{FDD8F7CE-A1C1-4299-AEDF-3BE6FE7696F3}" name=" AVG RATING" dataDxfId="3">
      <calculatedColumnFormula>Analysis!B6</calculatedColumnFormula>
    </tableColumn>
    <tableColumn id="4" xr3:uid="{1FA047BB-6A79-4CD8-9166-6FE088F81E6F}" name="LATE DELIVERY %" dataDxfId="2">
      <calculatedColumnFormula>Analysis!B7</calculatedColumnFormula>
    </tableColumn>
    <tableColumn id="5" xr3:uid="{9EE35320-C8E3-4533-9DF0-247DD4742AF3}" name="CANCEL RATE" dataDxfId="1">
      <calculatedColumnFormula>Analysis!B8</calculatedColumnFormula>
    </tableColumn>
    <tableColumn id="6" xr3:uid="{30143145-BFFA-446C-A85E-0DBA35AC56E7}" name="RETURN RATE" dataDxfId="0">
      <calculatedColumnFormula>Analysis!B9</calculatedColumnFormula>
    </tableColumn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7"/>
  <sheetViews>
    <sheetView zoomScaleNormal="100" zoomScaleSheetLayoutView="100" workbookViewId="0">
      <selection activeCell="A6" sqref="A5:A6"/>
    </sheetView>
  </sheetViews>
  <sheetFormatPr defaultRowHeight="15"/>
  <cols>
    <col min="1" max="1" width="12" customWidth="1"/>
    <col min="2" max="2" width="14" customWidth="1"/>
    <col min="3" max="3" width="18" customWidth="1"/>
    <col min="4" max="4" width="15" customWidth="1"/>
    <col min="5" max="5" width="13" customWidth="1"/>
    <col min="6" max="6" width="16" customWidth="1"/>
    <col min="7" max="7" width="12" customWidth="1"/>
    <col min="8" max="8" width="13" customWidth="1"/>
    <col min="9" max="9" width="12" customWidth="1"/>
    <col min="10" max="10" width="18" customWidth="1"/>
    <col min="11" max="11" width="10" customWidth="1"/>
    <col min="12" max="12" width="12" customWidth="1"/>
    <col min="13" max="13" width="10" customWidth="1"/>
    <col min="14" max="15" width="15" customWidth="1"/>
  </cols>
  <sheetData>
    <row r="1" spans="1:1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>
      <c r="A2" s="14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spans="1:15" ht="3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ht="14.25">
      <c r="A5" t="s">
        <v>17</v>
      </c>
      <c r="B5" s="2">
        <v>46261</v>
      </c>
      <c r="C5" t="s">
        <v>18</v>
      </c>
      <c r="D5" t="s">
        <v>19</v>
      </c>
      <c r="E5">
        <v>35</v>
      </c>
      <c r="F5" s="3">
        <v>4243</v>
      </c>
      <c r="G5" s="4">
        <v>0</v>
      </c>
      <c r="H5">
        <v>4</v>
      </c>
      <c r="I5">
        <v>3</v>
      </c>
      <c r="J5" t="s">
        <v>20</v>
      </c>
      <c r="K5">
        <v>4</v>
      </c>
      <c r="L5" t="s">
        <v>21</v>
      </c>
      <c r="M5" t="s">
        <v>21</v>
      </c>
      <c r="N5" s="29">
        <v>3.8</v>
      </c>
      <c r="O5" t="s">
        <v>22</v>
      </c>
    </row>
    <row r="6" spans="1:15" ht="14.25">
      <c r="A6" t="s">
        <v>23</v>
      </c>
      <c r="B6" s="2">
        <v>46259</v>
      </c>
      <c r="C6" t="s">
        <v>24</v>
      </c>
      <c r="D6" t="s">
        <v>25</v>
      </c>
      <c r="E6">
        <v>55</v>
      </c>
      <c r="F6" s="3">
        <v>2293</v>
      </c>
      <c r="G6" s="4">
        <v>10</v>
      </c>
      <c r="H6">
        <v>2</v>
      </c>
      <c r="I6">
        <v>5</v>
      </c>
      <c r="J6" t="s">
        <v>26</v>
      </c>
      <c r="K6">
        <v>2</v>
      </c>
      <c r="L6" t="s">
        <v>21</v>
      </c>
      <c r="M6" t="s">
        <v>21</v>
      </c>
      <c r="N6" s="29">
        <v>21.6</v>
      </c>
      <c r="O6" t="s">
        <v>27</v>
      </c>
    </row>
    <row r="7" spans="1:15" ht="14.25">
      <c r="A7" t="s">
        <v>28</v>
      </c>
      <c r="B7" s="2">
        <v>46271</v>
      </c>
      <c r="C7" t="s">
        <v>18</v>
      </c>
      <c r="D7" t="s">
        <v>29</v>
      </c>
      <c r="E7">
        <v>40</v>
      </c>
      <c r="F7" s="3">
        <v>594</v>
      </c>
      <c r="G7" s="4">
        <v>25</v>
      </c>
      <c r="H7">
        <v>3</v>
      </c>
      <c r="I7">
        <v>3</v>
      </c>
      <c r="J7" t="s">
        <v>30</v>
      </c>
      <c r="K7">
        <v>4</v>
      </c>
      <c r="L7" t="s">
        <v>21</v>
      </c>
      <c r="M7" t="s">
        <v>21</v>
      </c>
      <c r="N7" s="29">
        <v>15.7</v>
      </c>
      <c r="O7" t="s">
        <v>22</v>
      </c>
    </row>
    <row r="8" spans="1:15" ht="14.25">
      <c r="A8" t="s">
        <v>31</v>
      </c>
      <c r="B8" s="2">
        <v>46258</v>
      </c>
      <c r="C8" t="s">
        <v>24</v>
      </c>
      <c r="D8" t="s">
        <v>32</v>
      </c>
      <c r="E8">
        <v>22</v>
      </c>
      <c r="F8" s="3">
        <v>809</v>
      </c>
      <c r="G8" s="4">
        <v>0</v>
      </c>
      <c r="H8">
        <v>3</v>
      </c>
      <c r="I8">
        <v>3</v>
      </c>
      <c r="J8" t="s">
        <v>33</v>
      </c>
      <c r="K8">
        <v>5</v>
      </c>
      <c r="L8" t="s">
        <v>21</v>
      </c>
      <c r="M8" t="s">
        <v>21</v>
      </c>
      <c r="N8" s="29">
        <v>22</v>
      </c>
      <c r="O8" t="s">
        <v>22</v>
      </c>
    </row>
    <row r="9" spans="1:15" ht="14.25">
      <c r="A9" t="s">
        <v>34</v>
      </c>
      <c r="B9" s="2">
        <v>46249</v>
      </c>
      <c r="C9" t="s">
        <v>35</v>
      </c>
      <c r="D9" t="s">
        <v>36</v>
      </c>
      <c r="E9">
        <v>35</v>
      </c>
      <c r="F9" s="3">
        <v>741</v>
      </c>
      <c r="G9" s="4">
        <v>0</v>
      </c>
      <c r="H9">
        <v>3</v>
      </c>
      <c r="I9">
        <v>3</v>
      </c>
      <c r="J9" t="s">
        <v>20</v>
      </c>
      <c r="K9">
        <v>4</v>
      </c>
      <c r="L9" t="s">
        <v>21</v>
      </c>
      <c r="M9" t="s">
        <v>21</v>
      </c>
      <c r="N9" s="29">
        <v>18.3</v>
      </c>
      <c r="O9" t="s">
        <v>22</v>
      </c>
    </row>
    <row r="10" spans="1:15" ht="14.25">
      <c r="A10" t="s">
        <v>37</v>
      </c>
      <c r="B10" s="2">
        <v>46260</v>
      </c>
      <c r="C10" t="s">
        <v>35</v>
      </c>
      <c r="D10" t="s">
        <v>38</v>
      </c>
      <c r="E10">
        <v>21</v>
      </c>
      <c r="F10" s="3">
        <v>393</v>
      </c>
      <c r="G10" s="4">
        <v>5</v>
      </c>
      <c r="H10">
        <v>1</v>
      </c>
      <c r="I10">
        <v>1</v>
      </c>
      <c r="J10" t="s">
        <v>39</v>
      </c>
      <c r="K10">
        <v>4</v>
      </c>
      <c r="L10" t="s">
        <v>21</v>
      </c>
      <c r="M10" t="s">
        <v>21</v>
      </c>
      <c r="N10" s="29">
        <v>22.8</v>
      </c>
      <c r="O10" t="s">
        <v>27</v>
      </c>
    </row>
    <row r="11" spans="1:15" ht="14.25">
      <c r="A11" t="s">
        <v>40</v>
      </c>
      <c r="B11" s="2">
        <v>46283</v>
      </c>
      <c r="C11" t="s">
        <v>41</v>
      </c>
      <c r="D11" t="s">
        <v>36</v>
      </c>
      <c r="E11">
        <v>34</v>
      </c>
      <c r="F11" s="3">
        <v>3868</v>
      </c>
      <c r="G11" s="4">
        <v>20</v>
      </c>
      <c r="H11">
        <v>3</v>
      </c>
      <c r="I11">
        <v>4</v>
      </c>
      <c r="J11" t="s">
        <v>26</v>
      </c>
      <c r="K11">
        <v>4</v>
      </c>
      <c r="L11" t="s">
        <v>21</v>
      </c>
      <c r="M11" t="s">
        <v>21</v>
      </c>
      <c r="N11" s="29">
        <v>21.3</v>
      </c>
      <c r="O11" t="s">
        <v>22</v>
      </c>
    </row>
    <row r="12" spans="1:15" ht="14.25">
      <c r="A12" t="s">
        <v>42</v>
      </c>
      <c r="B12" s="2">
        <v>46235</v>
      </c>
      <c r="C12" t="s">
        <v>18</v>
      </c>
      <c r="D12" t="s">
        <v>38</v>
      </c>
      <c r="E12">
        <v>25</v>
      </c>
      <c r="F12" s="3">
        <v>7378</v>
      </c>
      <c r="G12" s="4">
        <v>5</v>
      </c>
      <c r="H12">
        <v>3</v>
      </c>
      <c r="I12">
        <v>2</v>
      </c>
      <c r="J12" t="s">
        <v>20</v>
      </c>
      <c r="K12">
        <v>4</v>
      </c>
      <c r="L12" t="s">
        <v>21</v>
      </c>
      <c r="M12" t="s">
        <v>21</v>
      </c>
      <c r="N12" s="29">
        <v>22.5</v>
      </c>
      <c r="O12" t="s">
        <v>27</v>
      </c>
    </row>
    <row r="13" spans="1:15" ht="14.25">
      <c r="A13" t="s">
        <v>43</v>
      </c>
      <c r="B13" s="2">
        <v>46267</v>
      </c>
      <c r="C13" t="s">
        <v>18</v>
      </c>
      <c r="D13" t="s">
        <v>32</v>
      </c>
      <c r="E13">
        <v>52</v>
      </c>
      <c r="F13" s="3">
        <v>4223</v>
      </c>
      <c r="G13" s="4">
        <v>10</v>
      </c>
      <c r="H13">
        <v>2</v>
      </c>
      <c r="I13">
        <v>3</v>
      </c>
      <c r="J13" t="s">
        <v>33</v>
      </c>
      <c r="K13">
        <v>4</v>
      </c>
      <c r="L13" t="s">
        <v>21</v>
      </c>
      <c r="M13" t="s">
        <v>21</v>
      </c>
      <c r="N13" s="29">
        <v>9.3000000000000007</v>
      </c>
      <c r="O13" t="s">
        <v>22</v>
      </c>
    </row>
    <row r="14" spans="1:15" ht="14.25">
      <c r="A14" t="s">
        <v>44</v>
      </c>
      <c r="B14" s="2">
        <v>46266</v>
      </c>
      <c r="C14" t="s">
        <v>18</v>
      </c>
      <c r="D14" t="s">
        <v>38</v>
      </c>
      <c r="E14">
        <v>37</v>
      </c>
      <c r="F14" s="3">
        <v>250</v>
      </c>
      <c r="G14" s="4">
        <v>25</v>
      </c>
      <c r="H14">
        <v>4</v>
      </c>
      <c r="I14">
        <v>5</v>
      </c>
      <c r="J14" t="s">
        <v>30</v>
      </c>
      <c r="K14">
        <v>4</v>
      </c>
      <c r="L14" t="s">
        <v>21</v>
      </c>
      <c r="M14" t="s">
        <v>21</v>
      </c>
      <c r="N14" s="29">
        <v>17.600000000000001</v>
      </c>
      <c r="O14" t="s">
        <v>27</v>
      </c>
    </row>
    <row r="15" spans="1:15" ht="14.25">
      <c r="A15" t="s">
        <v>45</v>
      </c>
      <c r="B15" s="2">
        <v>46243</v>
      </c>
      <c r="C15" t="s">
        <v>18</v>
      </c>
      <c r="D15" t="s">
        <v>19</v>
      </c>
      <c r="E15">
        <v>41</v>
      </c>
      <c r="F15" s="3">
        <v>7614</v>
      </c>
      <c r="G15" s="4">
        <v>10</v>
      </c>
      <c r="H15">
        <v>3</v>
      </c>
      <c r="I15">
        <v>2</v>
      </c>
      <c r="J15" t="s">
        <v>33</v>
      </c>
      <c r="K15">
        <v>4</v>
      </c>
      <c r="L15" t="s">
        <v>21</v>
      </c>
      <c r="M15" t="s">
        <v>21</v>
      </c>
      <c r="N15" s="29">
        <v>3</v>
      </c>
      <c r="O15" t="s">
        <v>22</v>
      </c>
    </row>
    <row r="16" spans="1:15" ht="14.25">
      <c r="A16" t="s">
        <v>46</v>
      </c>
      <c r="B16" s="2">
        <v>46277</v>
      </c>
      <c r="C16" t="s">
        <v>41</v>
      </c>
      <c r="D16" t="s">
        <v>47</v>
      </c>
      <c r="E16">
        <v>28</v>
      </c>
      <c r="F16" s="3">
        <v>1036</v>
      </c>
      <c r="G16" s="4">
        <v>10</v>
      </c>
      <c r="H16">
        <v>4</v>
      </c>
      <c r="I16">
        <v>4</v>
      </c>
      <c r="J16" t="s">
        <v>39</v>
      </c>
      <c r="K16">
        <v>5</v>
      </c>
      <c r="L16" t="s">
        <v>21</v>
      </c>
      <c r="M16" t="s">
        <v>21</v>
      </c>
      <c r="N16" s="29">
        <v>24.6</v>
      </c>
      <c r="O16" t="s">
        <v>22</v>
      </c>
    </row>
    <row r="17" spans="1:15" ht="14.25">
      <c r="A17" t="s">
        <v>48</v>
      </c>
      <c r="B17" s="2">
        <v>46256</v>
      </c>
      <c r="C17" t="s">
        <v>35</v>
      </c>
      <c r="D17" t="s">
        <v>25</v>
      </c>
      <c r="E17">
        <v>51</v>
      </c>
      <c r="F17" s="3">
        <v>647</v>
      </c>
      <c r="G17" s="4">
        <v>0</v>
      </c>
      <c r="H17">
        <v>2</v>
      </c>
      <c r="I17">
        <v>3</v>
      </c>
      <c r="J17" t="s">
        <v>26</v>
      </c>
      <c r="K17">
        <v>3</v>
      </c>
      <c r="L17" t="s">
        <v>21</v>
      </c>
      <c r="M17" t="s">
        <v>21</v>
      </c>
      <c r="N17" s="29">
        <v>2.1</v>
      </c>
      <c r="O17" t="s">
        <v>27</v>
      </c>
    </row>
    <row r="18" spans="1:15" ht="14.25">
      <c r="A18" t="s">
        <v>49</v>
      </c>
      <c r="B18" s="2">
        <v>46257</v>
      </c>
      <c r="C18" t="s">
        <v>18</v>
      </c>
      <c r="D18" t="s">
        <v>47</v>
      </c>
      <c r="E18">
        <v>33</v>
      </c>
      <c r="F18" s="3">
        <v>4766</v>
      </c>
      <c r="G18" s="4">
        <v>10</v>
      </c>
      <c r="H18">
        <v>3</v>
      </c>
      <c r="I18">
        <v>6</v>
      </c>
      <c r="J18" t="s">
        <v>39</v>
      </c>
      <c r="K18">
        <v>2</v>
      </c>
      <c r="L18" t="s">
        <v>21</v>
      </c>
      <c r="M18" t="s">
        <v>21</v>
      </c>
      <c r="N18" s="29">
        <v>7.2</v>
      </c>
      <c r="O18" t="s">
        <v>27</v>
      </c>
    </row>
    <row r="19" spans="1:15" ht="14.25">
      <c r="A19" t="s">
        <v>50</v>
      </c>
      <c r="B19" s="2">
        <v>46264</v>
      </c>
      <c r="C19" t="s">
        <v>41</v>
      </c>
      <c r="D19" t="s">
        <v>25</v>
      </c>
      <c r="E19">
        <v>47</v>
      </c>
      <c r="F19" s="3">
        <v>2862</v>
      </c>
      <c r="G19" s="4">
        <v>25</v>
      </c>
      <c r="H19">
        <v>2</v>
      </c>
      <c r="I19">
        <v>1</v>
      </c>
      <c r="J19" t="s">
        <v>30</v>
      </c>
      <c r="K19">
        <v>4</v>
      </c>
      <c r="L19" t="s">
        <v>21</v>
      </c>
      <c r="M19" t="s">
        <v>21</v>
      </c>
      <c r="N19" s="29">
        <v>3.1</v>
      </c>
      <c r="O19" t="s">
        <v>27</v>
      </c>
    </row>
    <row r="20" spans="1:15" ht="14.25">
      <c r="A20" t="s">
        <v>51</v>
      </c>
      <c r="B20" s="2">
        <v>46261</v>
      </c>
      <c r="C20" t="s">
        <v>24</v>
      </c>
      <c r="D20" t="s">
        <v>38</v>
      </c>
      <c r="E20">
        <v>22</v>
      </c>
      <c r="F20" s="3">
        <v>1573</v>
      </c>
      <c r="G20" s="4">
        <v>15</v>
      </c>
      <c r="H20">
        <v>4</v>
      </c>
      <c r="I20">
        <v>5</v>
      </c>
      <c r="J20" t="s">
        <v>33</v>
      </c>
      <c r="K20">
        <v>4</v>
      </c>
      <c r="L20" t="s">
        <v>21</v>
      </c>
      <c r="M20" t="s">
        <v>21</v>
      </c>
      <c r="N20" s="29">
        <v>4.0999999999999996</v>
      </c>
      <c r="O20" t="s">
        <v>22</v>
      </c>
    </row>
    <row r="21" spans="1:15" ht="14.25">
      <c r="A21" t="s">
        <v>52</v>
      </c>
      <c r="B21" s="2">
        <v>46244</v>
      </c>
      <c r="C21" t="s">
        <v>41</v>
      </c>
      <c r="D21" t="s">
        <v>25</v>
      </c>
      <c r="E21">
        <v>31</v>
      </c>
      <c r="F21" s="3">
        <v>4307</v>
      </c>
      <c r="G21" s="4">
        <v>5</v>
      </c>
      <c r="H21">
        <v>3</v>
      </c>
      <c r="I21">
        <v>3</v>
      </c>
      <c r="J21" t="s">
        <v>39</v>
      </c>
      <c r="K21">
        <v>4</v>
      </c>
      <c r="L21" t="s">
        <v>21</v>
      </c>
      <c r="M21" t="s">
        <v>21</v>
      </c>
      <c r="N21" s="29">
        <v>1.6</v>
      </c>
      <c r="O21" t="s">
        <v>22</v>
      </c>
    </row>
    <row r="22" spans="1:15" ht="14.25">
      <c r="A22" t="s">
        <v>53</v>
      </c>
      <c r="B22" s="2">
        <v>46238</v>
      </c>
      <c r="C22" t="s">
        <v>24</v>
      </c>
      <c r="D22" t="s">
        <v>29</v>
      </c>
      <c r="E22">
        <v>31</v>
      </c>
      <c r="F22" s="3">
        <v>340</v>
      </c>
      <c r="G22" s="4">
        <v>0</v>
      </c>
      <c r="H22">
        <v>4</v>
      </c>
      <c r="I22">
        <v>6</v>
      </c>
      <c r="J22" t="s">
        <v>33</v>
      </c>
      <c r="K22">
        <v>2</v>
      </c>
      <c r="L22" t="s">
        <v>21</v>
      </c>
      <c r="M22" t="s">
        <v>21</v>
      </c>
      <c r="N22" s="29">
        <v>21</v>
      </c>
      <c r="O22" t="s">
        <v>22</v>
      </c>
    </row>
    <row r="23" spans="1:15" ht="14.25">
      <c r="A23" t="s">
        <v>54</v>
      </c>
      <c r="B23" s="2">
        <v>46268</v>
      </c>
      <c r="C23" t="s">
        <v>55</v>
      </c>
      <c r="D23" t="s">
        <v>19</v>
      </c>
      <c r="E23">
        <v>29</v>
      </c>
      <c r="F23" s="3">
        <v>1604</v>
      </c>
      <c r="G23" s="4">
        <v>5</v>
      </c>
      <c r="H23">
        <v>2</v>
      </c>
      <c r="I23">
        <v>2</v>
      </c>
      <c r="J23" t="s">
        <v>20</v>
      </c>
      <c r="K23">
        <v>5</v>
      </c>
      <c r="L23" t="s">
        <v>56</v>
      </c>
      <c r="M23" t="s">
        <v>21</v>
      </c>
      <c r="N23" s="29">
        <v>4.7</v>
      </c>
      <c r="O23" t="s">
        <v>22</v>
      </c>
    </row>
    <row r="24" spans="1:15" ht="14.25">
      <c r="A24" t="s">
        <v>57</v>
      </c>
      <c r="B24" s="2">
        <v>46271</v>
      </c>
      <c r="C24" t="s">
        <v>35</v>
      </c>
      <c r="D24" t="s">
        <v>29</v>
      </c>
      <c r="E24">
        <v>31</v>
      </c>
      <c r="F24" s="3">
        <v>954</v>
      </c>
      <c r="G24" s="4">
        <v>25</v>
      </c>
      <c r="H24">
        <v>2</v>
      </c>
      <c r="I24">
        <v>2</v>
      </c>
      <c r="J24" t="s">
        <v>20</v>
      </c>
      <c r="K24">
        <v>4</v>
      </c>
      <c r="L24" t="s">
        <v>21</v>
      </c>
      <c r="M24" t="s">
        <v>21</v>
      </c>
      <c r="N24" s="29">
        <v>7.8</v>
      </c>
      <c r="O24" t="s">
        <v>27</v>
      </c>
    </row>
    <row r="25" spans="1:15" ht="14.25">
      <c r="A25" t="s">
        <v>58</v>
      </c>
      <c r="B25" s="2">
        <v>46235</v>
      </c>
      <c r="C25" t="s">
        <v>18</v>
      </c>
      <c r="D25" t="s">
        <v>19</v>
      </c>
      <c r="E25">
        <v>52</v>
      </c>
      <c r="F25" s="3">
        <v>4650</v>
      </c>
      <c r="G25" s="4">
        <v>10</v>
      </c>
      <c r="H25">
        <v>2</v>
      </c>
      <c r="I25">
        <v>2</v>
      </c>
      <c r="J25" t="s">
        <v>20</v>
      </c>
      <c r="K25">
        <v>4</v>
      </c>
      <c r="L25" t="s">
        <v>21</v>
      </c>
      <c r="M25" t="s">
        <v>21</v>
      </c>
      <c r="N25" s="29">
        <v>24.8</v>
      </c>
      <c r="O25" t="s">
        <v>59</v>
      </c>
    </row>
    <row r="26" spans="1:15" ht="14.25">
      <c r="A26" t="s">
        <v>60</v>
      </c>
      <c r="B26" s="2">
        <v>46267</v>
      </c>
      <c r="C26" t="s">
        <v>55</v>
      </c>
      <c r="D26" t="s">
        <v>29</v>
      </c>
      <c r="E26">
        <v>24</v>
      </c>
      <c r="F26" s="3">
        <v>1858</v>
      </c>
      <c r="G26" s="4">
        <v>5</v>
      </c>
      <c r="H26">
        <v>2</v>
      </c>
      <c r="I26">
        <v>3</v>
      </c>
      <c r="J26" t="s">
        <v>30</v>
      </c>
      <c r="K26">
        <v>4</v>
      </c>
      <c r="L26" t="s">
        <v>21</v>
      </c>
      <c r="M26" t="s">
        <v>21</v>
      </c>
      <c r="N26" s="29">
        <v>4.5999999999999996</v>
      </c>
      <c r="O26" t="s">
        <v>27</v>
      </c>
    </row>
    <row r="27" spans="1:15" ht="14.25">
      <c r="A27" t="s">
        <v>61</v>
      </c>
      <c r="B27" s="2">
        <v>46239</v>
      </c>
      <c r="C27" t="s">
        <v>41</v>
      </c>
      <c r="D27" t="s">
        <v>29</v>
      </c>
      <c r="E27">
        <v>21</v>
      </c>
      <c r="F27" s="3">
        <v>3653</v>
      </c>
      <c r="G27" s="4">
        <v>10</v>
      </c>
      <c r="H27">
        <v>2</v>
      </c>
      <c r="I27">
        <v>2</v>
      </c>
      <c r="J27" t="s">
        <v>26</v>
      </c>
      <c r="K27">
        <v>4</v>
      </c>
      <c r="L27" t="s">
        <v>21</v>
      </c>
      <c r="M27" t="s">
        <v>21</v>
      </c>
      <c r="N27" s="29">
        <v>1.6</v>
      </c>
      <c r="O27" t="s">
        <v>22</v>
      </c>
    </row>
    <row r="28" spans="1:15" ht="14.25">
      <c r="A28" t="s">
        <v>62</v>
      </c>
      <c r="B28" s="2">
        <v>46248</v>
      </c>
      <c r="C28" t="s">
        <v>24</v>
      </c>
      <c r="D28" t="s">
        <v>47</v>
      </c>
      <c r="E28">
        <v>20</v>
      </c>
      <c r="F28" s="3">
        <v>2317</v>
      </c>
      <c r="G28" s="4">
        <v>10</v>
      </c>
      <c r="H28">
        <v>4</v>
      </c>
      <c r="I28">
        <v>3</v>
      </c>
      <c r="J28" t="s">
        <v>30</v>
      </c>
      <c r="K28">
        <v>4</v>
      </c>
      <c r="L28" t="s">
        <v>21</v>
      </c>
      <c r="M28" t="s">
        <v>21</v>
      </c>
      <c r="N28" s="29">
        <v>16.100000000000001</v>
      </c>
      <c r="O28" t="s">
        <v>22</v>
      </c>
    </row>
    <row r="29" spans="1:15" ht="14.25">
      <c r="A29" t="s">
        <v>63</v>
      </c>
      <c r="B29" s="2">
        <v>46246</v>
      </c>
      <c r="C29" t="s">
        <v>24</v>
      </c>
      <c r="D29" t="s">
        <v>32</v>
      </c>
      <c r="E29">
        <v>24</v>
      </c>
      <c r="F29" s="3">
        <v>1100</v>
      </c>
      <c r="G29" s="4">
        <v>15</v>
      </c>
      <c r="H29">
        <v>4</v>
      </c>
      <c r="I29">
        <v>4</v>
      </c>
      <c r="J29" t="s">
        <v>26</v>
      </c>
      <c r="K29">
        <v>5</v>
      </c>
      <c r="L29" t="s">
        <v>21</v>
      </c>
      <c r="M29" t="s">
        <v>21</v>
      </c>
      <c r="N29" s="29">
        <v>21.4</v>
      </c>
      <c r="O29" t="s">
        <v>22</v>
      </c>
    </row>
    <row r="30" spans="1:15" ht="14.25">
      <c r="A30" t="s">
        <v>64</v>
      </c>
      <c r="B30" s="2">
        <v>46257</v>
      </c>
      <c r="C30" t="s">
        <v>35</v>
      </c>
      <c r="D30" t="s">
        <v>38</v>
      </c>
      <c r="E30">
        <v>44</v>
      </c>
      <c r="F30" s="3">
        <v>1256</v>
      </c>
      <c r="G30" s="4">
        <v>25</v>
      </c>
      <c r="H30">
        <v>2</v>
      </c>
      <c r="I30">
        <v>1</v>
      </c>
      <c r="J30" t="s">
        <v>39</v>
      </c>
      <c r="K30">
        <v>4</v>
      </c>
      <c r="L30" t="s">
        <v>56</v>
      </c>
      <c r="M30" t="s">
        <v>21</v>
      </c>
      <c r="N30" s="29">
        <v>8.6</v>
      </c>
      <c r="O30" t="s">
        <v>27</v>
      </c>
    </row>
    <row r="31" spans="1:15" ht="14.25">
      <c r="A31" t="s">
        <v>65</v>
      </c>
      <c r="B31" s="2">
        <v>46236</v>
      </c>
      <c r="C31" t="s">
        <v>35</v>
      </c>
      <c r="D31" t="s">
        <v>38</v>
      </c>
      <c r="E31">
        <v>32</v>
      </c>
      <c r="F31" s="3">
        <v>987</v>
      </c>
      <c r="G31" s="4">
        <v>15</v>
      </c>
      <c r="H31">
        <v>2</v>
      </c>
      <c r="I31">
        <v>4</v>
      </c>
      <c r="J31" t="s">
        <v>30</v>
      </c>
      <c r="K31">
        <v>3</v>
      </c>
      <c r="L31" t="s">
        <v>21</v>
      </c>
      <c r="M31" t="s">
        <v>21</v>
      </c>
      <c r="N31" s="29">
        <v>8.9</v>
      </c>
      <c r="O31" t="s">
        <v>22</v>
      </c>
    </row>
    <row r="32" spans="1:15" ht="14.25">
      <c r="A32" t="s">
        <v>66</v>
      </c>
      <c r="B32" s="2">
        <v>46271</v>
      </c>
      <c r="C32" t="s">
        <v>18</v>
      </c>
      <c r="D32" t="s">
        <v>29</v>
      </c>
      <c r="E32">
        <v>29</v>
      </c>
      <c r="F32" s="3">
        <v>7819</v>
      </c>
      <c r="G32" s="4">
        <v>20</v>
      </c>
      <c r="H32">
        <v>3</v>
      </c>
      <c r="I32">
        <v>3</v>
      </c>
      <c r="J32" t="s">
        <v>39</v>
      </c>
      <c r="K32">
        <v>5</v>
      </c>
      <c r="L32" t="s">
        <v>21</v>
      </c>
      <c r="M32" t="s">
        <v>21</v>
      </c>
      <c r="N32" s="29">
        <v>2.5</v>
      </c>
      <c r="O32" t="s">
        <v>22</v>
      </c>
    </row>
    <row r="33" spans="1:15" ht="14.25">
      <c r="A33" t="s">
        <v>67</v>
      </c>
      <c r="B33" s="2">
        <v>46254</v>
      </c>
      <c r="C33" t="s">
        <v>24</v>
      </c>
      <c r="D33" t="s">
        <v>29</v>
      </c>
      <c r="E33">
        <v>20</v>
      </c>
      <c r="F33" s="3">
        <v>1786</v>
      </c>
      <c r="G33" s="4">
        <v>20</v>
      </c>
      <c r="H33">
        <v>3</v>
      </c>
      <c r="I33">
        <v>5</v>
      </c>
      <c r="J33" t="s">
        <v>20</v>
      </c>
      <c r="K33">
        <v>3</v>
      </c>
      <c r="L33" t="s">
        <v>21</v>
      </c>
      <c r="M33" t="s">
        <v>21</v>
      </c>
      <c r="N33" s="29">
        <v>11.2</v>
      </c>
      <c r="O33" t="s">
        <v>59</v>
      </c>
    </row>
    <row r="34" spans="1:15" ht="14.25">
      <c r="A34" t="s">
        <v>68</v>
      </c>
      <c r="B34" s="2">
        <v>46235</v>
      </c>
      <c r="C34" t="s">
        <v>41</v>
      </c>
      <c r="D34" t="s">
        <v>29</v>
      </c>
      <c r="E34">
        <v>43</v>
      </c>
      <c r="F34" s="3">
        <v>2532</v>
      </c>
      <c r="G34" s="4">
        <v>25</v>
      </c>
      <c r="H34">
        <v>3</v>
      </c>
      <c r="I34">
        <v>6</v>
      </c>
      <c r="J34" t="s">
        <v>20</v>
      </c>
      <c r="K34">
        <v>3</v>
      </c>
      <c r="L34" t="s">
        <v>21</v>
      </c>
      <c r="M34" t="s">
        <v>21</v>
      </c>
      <c r="N34" s="29">
        <v>16.2</v>
      </c>
      <c r="O34" t="s">
        <v>27</v>
      </c>
    </row>
    <row r="35" spans="1:15" ht="14.25">
      <c r="A35" t="s">
        <v>69</v>
      </c>
      <c r="B35" s="2">
        <v>46253</v>
      </c>
      <c r="C35" t="s">
        <v>35</v>
      </c>
      <c r="D35" t="s">
        <v>29</v>
      </c>
      <c r="E35">
        <v>31</v>
      </c>
      <c r="F35" s="3">
        <v>483</v>
      </c>
      <c r="G35" s="4">
        <v>25</v>
      </c>
      <c r="H35">
        <v>2</v>
      </c>
      <c r="I35">
        <v>2</v>
      </c>
      <c r="J35" t="s">
        <v>26</v>
      </c>
      <c r="K35">
        <v>5</v>
      </c>
      <c r="L35" t="s">
        <v>21</v>
      </c>
      <c r="M35" t="s">
        <v>21</v>
      </c>
      <c r="N35" s="29">
        <v>13.8</v>
      </c>
      <c r="O35" t="s">
        <v>22</v>
      </c>
    </row>
    <row r="36" spans="1:15" ht="14.25">
      <c r="A36" t="s">
        <v>70</v>
      </c>
      <c r="B36" s="2">
        <v>46264</v>
      </c>
      <c r="C36" t="s">
        <v>55</v>
      </c>
      <c r="D36" t="s">
        <v>32</v>
      </c>
      <c r="E36">
        <v>39</v>
      </c>
      <c r="F36" s="3">
        <v>1736</v>
      </c>
      <c r="G36" s="4">
        <v>0</v>
      </c>
      <c r="H36">
        <v>2</v>
      </c>
      <c r="I36">
        <v>2</v>
      </c>
      <c r="J36" t="s">
        <v>26</v>
      </c>
      <c r="K36">
        <v>4</v>
      </c>
      <c r="L36" t="s">
        <v>21</v>
      </c>
      <c r="M36" t="s">
        <v>21</v>
      </c>
      <c r="N36" s="29">
        <v>19.3</v>
      </c>
      <c r="O36" t="s">
        <v>22</v>
      </c>
    </row>
    <row r="37" spans="1:15" ht="14.25">
      <c r="A37" t="s">
        <v>71</v>
      </c>
      <c r="B37" s="2">
        <v>46246</v>
      </c>
      <c r="C37" t="s">
        <v>41</v>
      </c>
      <c r="D37" t="s">
        <v>32</v>
      </c>
      <c r="E37">
        <v>54</v>
      </c>
      <c r="F37" s="3">
        <v>3233</v>
      </c>
      <c r="G37" s="4">
        <v>15</v>
      </c>
      <c r="H37">
        <v>3</v>
      </c>
      <c r="I37">
        <v>2</v>
      </c>
      <c r="J37" t="s">
        <v>33</v>
      </c>
      <c r="K37">
        <v>5</v>
      </c>
      <c r="L37" t="s">
        <v>21</v>
      </c>
      <c r="M37" t="s">
        <v>21</v>
      </c>
      <c r="N37" s="29">
        <v>8</v>
      </c>
      <c r="O37" t="s">
        <v>22</v>
      </c>
    </row>
    <row r="38" spans="1:15" ht="14.25">
      <c r="A38" t="s">
        <v>72</v>
      </c>
      <c r="B38" s="2">
        <v>46274</v>
      </c>
      <c r="C38" t="s">
        <v>55</v>
      </c>
      <c r="D38" t="s">
        <v>25</v>
      </c>
      <c r="E38">
        <v>21</v>
      </c>
      <c r="F38" s="3">
        <v>2270</v>
      </c>
      <c r="G38" s="4">
        <v>20</v>
      </c>
      <c r="H38">
        <v>2</v>
      </c>
      <c r="I38">
        <v>3</v>
      </c>
      <c r="J38" t="s">
        <v>39</v>
      </c>
      <c r="K38">
        <v>4</v>
      </c>
      <c r="L38" t="s">
        <v>21</v>
      </c>
      <c r="M38" t="s">
        <v>21</v>
      </c>
      <c r="N38" s="29">
        <v>25.8</v>
      </c>
      <c r="O38" t="s">
        <v>22</v>
      </c>
    </row>
    <row r="39" spans="1:15" ht="14.25">
      <c r="A39" t="s">
        <v>73</v>
      </c>
      <c r="B39" s="2">
        <v>46280</v>
      </c>
      <c r="C39" t="s">
        <v>55</v>
      </c>
      <c r="D39" t="s">
        <v>25</v>
      </c>
      <c r="E39">
        <v>53</v>
      </c>
      <c r="F39" s="3">
        <v>1066</v>
      </c>
      <c r="G39" s="4">
        <v>15</v>
      </c>
      <c r="H39">
        <v>2</v>
      </c>
      <c r="I39">
        <v>2</v>
      </c>
      <c r="J39" t="s">
        <v>26</v>
      </c>
      <c r="K39">
        <v>5</v>
      </c>
      <c r="L39" t="s">
        <v>21</v>
      </c>
      <c r="M39" t="s">
        <v>21</v>
      </c>
      <c r="N39" s="29">
        <v>8.4</v>
      </c>
      <c r="O39" t="s">
        <v>27</v>
      </c>
    </row>
    <row r="40" spans="1:15" ht="14.25">
      <c r="A40" t="s">
        <v>74</v>
      </c>
      <c r="B40" s="2">
        <v>46256</v>
      </c>
      <c r="C40" t="s">
        <v>35</v>
      </c>
      <c r="D40" t="s">
        <v>36</v>
      </c>
      <c r="E40">
        <v>35</v>
      </c>
      <c r="F40" s="3">
        <v>968</v>
      </c>
      <c r="G40" s="4">
        <v>10</v>
      </c>
      <c r="H40">
        <v>2</v>
      </c>
      <c r="I40">
        <v>3</v>
      </c>
      <c r="J40" t="s">
        <v>39</v>
      </c>
      <c r="K40">
        <v>3</v>
      </c>
      <c r="L40" t="s">
        <v>21</v>
      </c>
      <c r="M40" t="s">
        <v>21</v>
      </c>
      <c r="N40" s="29">
        <v>25.2</v>
      </c>
      <c r="O40" t="s">
        <v>27</v>
      </c>
    </row>
    <row r="41" spans="1:15" ht="14.25">
      <c r="A41" t="s">
        <v>75</v>
      </c>
      <c r="B41" s="2">
        <v>46269</v>
      </c>
      <c r="C41" t="s">
        <v>55</v>
      </c>
      <c r="D41" t="s">
        <v>25</v>
      </c>
      <c r="E41">
        <v>44</v>
      </c>
      <c r="F41" s="3">
        <v>2449</v>
      </c>
      <c r="G41" s="4">
        <v>15</v>
      </c>
      <c r="H41">
        <v>3</v>
      </c>
      <c r="I41">
        <v>6</v>
      </c>
      <c r="J41" t="s">
        <v>39</v>
      </c>
      <c r="K41">
        <v>2</v>
      </c>
      <c r="L41" t="s">
        <v>21</v>
      </c>
      <c r="M41" t="s">
        <v>21</v>
      </c>
      <c r="N41" s="29">
        <v>26.6</v>
      </c>
      <c r="O41" t="s">
        <v>27</v>
      </c>
    </row>
    <row r="42" spans="1:15" ht="14.25">
      <c r="A42" t="s">
        <v>76</v>
      </c>
      <c r="B42" s="2">
        <v>46243</v>
      </c>
      <c r="C42" t="s">
        <v>55</v>
      </c>
      <c r="D42" t="s">
        <v>38</v>
      </c>
      <c r="E42">
        <v>32</v>
      </c>
      <c r="F42" s="3">
        <v>1832</v>
      </c>
      <c r="G42" s="4">
        <v>15</v>
      </c>
      <c r="H42">
        <v>2</v>
      </c>
      <c r="I42">
        <v>2</v>
      </c>
      <c r="J42" t="s">
        <v>39</v>
      </c>
      <c r="K42">
        <v>4</v>
      </c>
      <c r="L42" t="s">
        <v>21</v>
      </c>
      <c r="M42" t="s">
        <v>21</v>
      </c>
      <c r="N42" s="29">
        <v>8.6999999999999993</v>
      </c>
      <c r="O42" t="s">
        <v>27</v>
      </c>
    </row>
    <row r="43" spans="1:15" ht="14.25">
      <c r="A43" t="s">
        <v>77</v>
      </c>
      <c r="B43" s="2">
        <v>46283</v>
      </c>
      <c r="C43" t="s">
        <v>55</v>
      </c>
      <c r="D43" t="s">
        <v>47</v>
      </c>
      <c r="E43">
        <v>19</v>
      </c>
      <c r="F43" s="3">
        <v>2069</v>
      </c>
      <c r="G43" s="4">
        <v>25</v>
      </c>
      <c r="H43">
        <v>1</v>
      </c>
      <c r="I43">
        <v>1</v>
      </c>
      <c r="J43" t="s">
        <v>30</v>
      </c>
      <c r="K43">
        <v>4</v>
      </c>
      <c r="L43" t="s">
        <v>21</v>
      </c>
      <c r="M43" t="s">
        <v>21</v>
      </c>
      <c r="N43" s="29">
        <v>3.7</v>
      </c>
      <c r="O43" t="s">
        <v>27</v>
      </c>
    </row>
    <row r="44" spans="1:15" ht="14.25">
      <c r="A44" t="s">
        <v>78</v>
      </c>
      <c r="B44" s="2">
        <v>46283</v>
      </c>
      <c r="C44" t="s">
        <v>41</v>
      </c>
      <c r="D44" t="s">
        <v>29</v>
      </c>
      <c r="E44">
        <v>44</v>
      </c>
      <c r="F44" s="3">
        <v>1713</v>
      </c>
      <c r="G44" s="4">
        <v>10</v>
      </c>
      <c r="H44">
        <v>2</v>
      </c>
      <c r="I44">
        <v>1</v>
      </c>
      <c r="J44" t="s">
        <v>26</v>
      </c>
      <c r="K44">
        <v>5</v>
      </c>
      <c r="L44" t="s">
        <v>21</v>
      </c>
      <c r="M44" t="s">
        <v>21</v>
      </c>
      <c r="N44" s="29">
        <v>14</v>
      </c>
      <c r="O44" t="s">
        <v>22</v>
      </c>
    </row>
    <row r="45" spans="1:15" ht="14.25">
      <c r="A45" t="s">
        <v>79</v>
      </c>
      <c r="B45" s="2">
        <v>46245</v>
      </c>
      <c r="C45" t="s">
        <v>18</v>
      </c>
      <c r="D45" t="s">
        <v>36</v>
      </c>
      <c r="E45">
        <v>30</v>
      </c>
      <c r="F45" s="3">
        <v>6052</v>
      </c>
      <c r="G45" s="4">
        <v>5</v>
      </c>
      <c r="H45">
        <v>3</v>
      </c>
      <c r="I45">
        <v>4</v>
      </c>
      <c r="J45" t="s">
        <v>26</v>
      </c>
      <c r="K45">
        <v>4</v>
      </c>
      <c r="L45" t="s">
        <v>21</v>
      </c>
      <c r="M45" t="s">
        <v>21</v>
      </c>
      <c r="N45" s="29">
        <v>14</v>
      </c>
      <c r="O45" t="s">
        <v>22</v>
      </c>
    </row>
    <row r="46" spans="1:15" ht="14.25">
      <c r="A46" t="s">
        <v>80</v>
      </c>
      <c r="B46" s="2">
        <v>46241</v>
      </c>
      <c r="C46" t="s">
        <v>35</v>
      </c>
      <c r="D46" t="s">
        <v>19</v>
      </c>
      <c r="E46">
        <v>55</v>
      </c>
      <c r="F46" s="3">
        <v>486</v>
      </c>
      <c r="G46" s="4">
        <v>0</v>
      </c>
      <c r="H46">
        <v>2</v>
      </c>
      <c r="I46">
        <v>2</v>
      </c>
      <c r="J46" t="s">
        <v>33</v>
      </c>
      <c r="K46">
        <v>4</v>
      </c>
      <c r="L46" t="s">
        <v>21</v>
      </c>
      <c r="M46" t="s">
        <v>21</v>
      </c>
      <c r="N46" s="29">
        <v>16.8</v>
      </c>
      <c r="O46" t="s">
        <v>22</v>
      </c>
    </row>
    <row r="47" spans="1:15" ht="14.25">
      <c r="A47" t="s">
        <v>81</v>
      </c>
      <c r="B47" s="2">
        <v>46262</v>
      </c>
      <c r="C47" t="s">
        <v>35</v>
      </c>
      <c r="D47" t="s">
        <v>38</v>
      </c>
      <c r="E47">
        <v>25</v>
      </c>
      <c r="F47" s="3">
        <v>1029</v>
      </c>
      <c r="G47" s="4">
        <v>0</v>
      </c>
      <c r="H47">
        <v>2</v>
      </c>
      <c r="I47">
        <v>1</v>
      </c>
      <c r="J47" t="s">
        <v>26</v>
      </c>
      <c r="K47">
        <v>5</v>
      </c>
      <c r="L47" t="s">
        <v>21</v>
      </c>
      <c r="M47" t="s">
        <v>21</v>
      </c>
      <c r="N47" s="29">
        <v>15.6</v>
      </c>
      <c r="O47" t="s">
        <v>22</v>
      </c>
    </row>
    <row r="48" spans="1:15" ht="14.25">
      <c r="A48" t="s">
        <v>82</v>
      </c>
      <c r="B48" s="2">
        <v>46252</v>
      </c>
      <c r="C48" t="s">
        <v>35</v>
      </c>
      <c r="D48" t="s">
        <v>32</v>
      </c>
      <c r="E48">
        <v>47</v>
      </c>
      <c r="F48" s="3">
        <v>466</v>
      </c>
      <c r="G48" s="4">
        <v>25</v>
      </c>
      <c r="H48">
        <v>2</v>
      </c>
      <c r="I48">
        <v>2</v>
      </c>
      <c r="J48" t="s">
        <v>20</v>
      </c>
      <c r="K48">
        <v>5</v>
      </c>
      <c r="L48" t="s">
        <v>21</v>
      </c>
      <c r="M48" t="s">
        <v>21</v>
      </c>
      <c r="N48" s="29">
        <v>13</v>
      </c>
      <c r="O48" t="s">
        <v>27</v>
      </c>
    </row>
    <row r="49" spans="1:15" ht="14.25">
      <c r="A49" t="s">
        <v>83</v>
      </c>
      <c r="B49" s="2">
        <v>46251</v>
      </c>
      <c r="C49" t="s">
        <v>35</v>
      </c>
      <c r="D49" t="s">
        <v>38</v>
      </c>
      <c r="E49">
        <v>33</v>
      </c>
      <c r="F49" s="3">
        <v>972</v>
      </c>
      <c r="G49" s="4">
        <v>15</v>
      </c>
      <c r="H49">
        <v>2</v>
      </c>
      <c r="I49">
        <v>2</v>
      </c>
      <c r="J49" t="s">
        <v>30</v>
      </c>
      <c r="K49">
        <v>4</v>
      </c>
      <c r="L49" t="s">
        <v>21</v>
      </c>
      <c r="M49" t="s">
        <v>21</v>
      </c>
      <c r="N49" s="29">
        <v>21.4</v>
      </c>
      <c r="O49" t="s">
        <v>27</v>
      </c>
    </row>
    <row r="50" spans="1:15" ht="14.25">
      <c r="A50" t="s">
        <v>84</v>
      </c>
      <c r="B50" s="2">
        <v>46263</v>
      </c>
      <c r="C50" t="s">
        <v>35</v>
      </c>
      <c r="D50" t="s">
        <v>29</v>
      </c>
      <c r="E50">
        <v>35</v>
      </c>
      <c r="F50" s="3">
        <v>769</v>
      </c>
      <c r="G50" s="4">
        <v>20</v>
      </c>
      <c r="H50">
        <v>1</v>
      </c>
      <c r="I50">
        <v>2</v>
      </c>
      <c r="J50" t="s">
        <v>39</v>
      </c>
      <c r="K50">
        <v>4</v>
      </c>
      <c r="L50" t="s">
        <v>21</v>
      </c>
      <c r="M50" t="s">
        <v>21</v>
      </c>
      <c r="N50" s="29">
        <v>15.2</v>
      </c>
      <c r="O50" t="s">
        <v>22</v>
      </c>
    </row>
    <row r="51" spans="1:15" ht="14.25">
      <c r="A51" t="s">
        <v>85</v>
      </c>
      <c r="B51" s="2">
        <v>46254</v>
      </c>
      <c r="C51" t="s">
        <v>18</v>
      </c>
      <c r="D51" t="s">
        <v>19</v>
      </c>
      <c r="E51">
        <v>36</v>
      </c>
      <c r="F51" s="3">
        <v>4880</v>
      </c>
      <c r="G51" s="4">
        <v>10</v>
      </c>
      <c r="H51">
        <v>4</v>
      </c>
      <c r="I51">
        <v>4</v>
      </c>
      <c r="J51" t="s">
        <v>30</v>
      </c>
      <c r="K51">
        <v>4</v>
      </c>
      <c r="L51" t="s">
        <v>21</v>
      </c>
      <c r="M51" t="s">
        <v>21</v>
      </c>
      <c r="N51" s="29">
        <v>11.3</v>
      </c>
      <c r="O51" t="s">
        <v>22</v>
      </c>
    </row>
    <row r="52" spans="1:15" ht="14.25">
      <c r="A52" t="s">
        <v>86</v>
      </c>
      <c r="B52" s="2">
        <v>46273</v>
      </c>
      <c r="C52" t="s">
        <v>35</v>
      </c>
      <c r="D52" t="s">
        <v>36</v>
      </c>
      <c r="E52">
        <v>25</v>
      </c>
      <c r="F52" s="3">
        <v>1428</v>
      </c>
      <c r="G52" s="4">
        <v>25</v>
      </c>
      <c r="H52">
        <v>2</v>
      </c>
      <c r="I52">
        <v>2</v>
      </c>
      <c r="J52" t="s">
        <v>20</v>
      </c>
      <c r="K52">
        <v>4</v>
      </c>
      <c r="L52" t="s">
        <v>21</v>
      </c>
      <c r="M52" t="s">
        <v>21</v>
      </c>
      <c r="N52" s="29">
        <v>9.9</v>
      </c>
      <c r="O52" t="s">
        <v>22</v>
      </c>
    </row>
    <row r="53" spans="1:15" ht="14.25">
      <c r="A53" t="s">
        <v>87</v>
      </c>
      <c r="B53" s="2">
        <v>46241</v>
      </c>
      <c r="C53" t="s">
        <v>35</v>
      </c>
      <c r="D53" t="s">
        <v>19</v>
      </c>
      <c r="E53">
        <v>30</v>
      </c>
      <c r="F53" s="3">
        <v>805</v>
      </c>
      <c r="G53" s="4">
        <v>10</v>
      </c>
      <c r="H53">
        <v>1</v>
      </c>
      <c r="I53">
        <v>2</v>
      </c>
      <c r="J53" t="s">
        <v>39</v>
      </c>
      <c r="K53">
        <v>4</v>
      </c>
      <c r="L53" t="s">
        <v>21</v>
      </c>
      <c r="M53" t="s">
        <v>21</v>
      </c>
      <c r="N53" s="29">
        <v>20.3</v>
      </c>
      <c r="O53" t="s">
        <v>27</v>
      </c>
    </row>
    <row r="54" spans="1:15" ht="14.25">
      <c r="A54" t="s">
        <v>88</v>
      </c>
      <c r="B54" s="2">
        <v>46239</v>
      </c>
      <c r="C54" t="s">
        <v>18</v>
      </c>
      <c r="D54" t="s">
        <v>47</v>
      </c>
      <c r="E54">
        <v>36</v>
      </c>
      <c r="F54" s="3">
        <v>6466</v>
      </c>
      <c r="G54" s="4">
        <v>15</v>
      </c>
      <c r="H54">
        <v>3</v>
      </c>
      <c r="I54">
        <v>4</v>
      </c>
      <c r="J54" t="s">
        <v>39</v>
      </c>
      <c r="K54">
        <v>3</v>
      </c>
      <c r="L54" t="s">
        <v>21</v>
      </c>
      <c r="M54" t="s">
        <v>21</v>
      </c>
      <c r="N54" s="29">
        <v>13.2</v>
      </c>
      <c r="O54" t="s">
        <v>27</v>
      </c>
    </row>
    <row r="55" spans="1:15" ht="14.25">
      <c r="A55" t="s">
        <v>89</v>
      </c>
      <c r="B55" s="2">
        <v>46263</v>
      </c>
      <c r="C55" t="s">
        <v>55</v>
      </c>
      <c r="D55" t="s">
        <v>32</v>
      </c>
      <c r="E55">
        <v>21</v>
      </c>
      <c r="F55" s="3">
        <v>2034</v>
      </c>
      <c r="G55" s="4">
        <v>10</v>
      </c>
      <c r="H55">
        <v>1</v>
      </c>
      <c r="I55">
        <v>4</v>
      </c>
      <c r="J55" t="s">
        <v>39</v>
      </c>
      <c r="K55">
        <v>2</v>
      </c>
      <c r="L55" t="s">
        <v>21</v>
      </c>
      <c r="M55" t="s">
        <v>21</v>
      </c>
      <c r="N55" s="29">
        <v>27.8</v>
      </c>
      <c r="O55" t="s">
        <v>22</v>
      </c>
    </row>
    <row r="56" spans="1:15" ht="14.25">
      <c r="A56" t="s">
        <v>90</v>
      </c>
      <c r="B56" s="2">
        <v>46250</v>
      </c>
      <c r="C56" t="s">
        <v>35</v>
      </c>
      <c r="D56" t="s">
        <v>38</v>
      </c>
      <c r="E56">
        <v>55</v>
      </c>
      <c r="F56" s="3">
        <v>1421</v>
      </c>
      <c r="G56" s="4">
        <v>15</v>
      </c>
      <c r="H56">
        <v>2</v>
      </c>
      <c r="I56">
        <v>3</v>
      </c>
      <c r="J56" t="s">
        <v>33</v>
      </c>
      <c r="K56">
        <v>4</v>
      </c>
      <c r="L56" t="s">
        <v>21</v>
      </c>
      <c r="M56" t="s">
        <v>21</v>
      </c>
      <c r="N56" s="29">
        <v>16.600000000000001</v>
      </c>
      <c r="O56" t="s">
        <v>22</v>
      </c>
    </row>
    <row r="57" spans="1:15" ht="14.25">
      <c r="A57" t="s">
        <v>91</v>
      </c>
      <c r="B57" s="2">
        <v>46275</v>
      </c>
      <c r="C57" t="s">
        <v>24</v>
      </c>
      <c r="D57" t="s">
        <v>47</v>
      </c>
      <c r="E57">
        <v>22</v>
      </c>
      <c r="F57" s="3">
        <v>2311</v>
      </c>
      <c r="G57" s="4">
        <v>25</v>
      </c>
      <c r="H57">
        <v>4</v>
      </c>
      <c r="I57">
        <v>6</v>
      </c>
      <c r="J57" t="s">
        <v>30</v>
      </c>
      <c r="K57">
        <v>3</v>
      </c>
      <c r="L57" t="s">
        <v>21</v>
      </c>
      <c r="M57" t="s">
        <v>21</v>
      </c>
      <c r="N57" s="29">
        <v>14</v>
      </c>
      <c r="O57" t="s">
        <v>22</v>
      </c>
    </row>
    <row r="58" spans="1:15" ht="14.25">
      <c r="A58" t="s">
        <v>92</v>
      </c>
      <c r="B58" s="2">
        <v>46253</v>
      </c>
      <c r="C58" t="s">
        <v>55</v>
      </c>
      <c r="D58" t="s">
        <v>32</v>
      </c>
      <c r="E58">
        <v>30</v>
      </c>
      <c r="F58" s="3">
        <v>1911</v>
      </c>
      <c r="G58" s="4">
        <v>15</v>
      </c>
      <c r="H58">
        <v>1</v>
      </c>
      <c r="I58">
        <v>1</v>
      </c>
      <c r="J58" t="s">
        <v>20</v>
      </c>
      <c r="K58">
        <v>5</v>
      </c>
      <c r="L58" t="s">
        <v>21</v>
      </c>
      <c r="M58" t="s">
        <v>21</v>
      </c>
      <c r="N58" s="29">
        <v>15.9</v>
      </c>
      <c r="O58" t="s">
        <v>27</v>
      </c>
    </row>
    <row r="59" spans="1:15" ht="14.25">
      <c r="A59" t="s">
        <v>93</v>
      </c>
      <c r="B59" s="2">
        <v>46249</v>
      </c>
      <c r="C59" t="s">
        <v>41</v>
      </c>
      <c r="D59" t="s">
        <v>19</v>
      </c>
      <c r="E59">
        <v>47</v>
      </c>
      <c r="F59" s="3">
        <v>1900</v>
      </c>
      <c r="G59" s="4">
        <v>10</v>
      </c>
      <c r="H59">
        <v>4</v>
      </c>
      <c r="I59">
        <v>5</v>
      </c>
      <c r="J59" t="s">
        <v>26</v>
      </c>
      <c r="K59">
        <v>3</v>
      </c>
      <c r="L59" t="s">
        <v>21</v>
      </c>
      <c r="M59" t="s">
        <v>21</v>
      </c>
      <c r="N59" s="29">
        <v>15.8</v>
      </c>
      <c r="O59" t="s">
        <v>27</v>
      </c>
    </row>
    <row r="60" spans="1:15" ht="14.25">
      <c r="A60" t="s">
        <v>94</v>
      </c>
      <c r="B60" s="2">
        <v>46262</v>
      </c>
      <c r="C60" t="s">
        <v>55</v>
      </c>
      <c r="D60" t="s">
        <v>47</v>
      </c>
      <c r="E60">
        <v>19</v>
      </c>
      <c r="F60" s="3">
        <v>537</v>
      </c>
      <c r="G60" s="4">
        <v>25</v>
      </c>
      <c r="H60">
        <v>2</v>
      </c>
      <c r="I60">
        <v>2</v>
      </c>
      <c r="J60" t="s">
        <v>20</v>
      </c>
      <c r="K60">
        <v>5</v>
      </c>
      <c r="L60" t="s">
        <v>21</v>
      </c>
      <c r="M60" t="s">
        <v>21</v>
      </c>
      <c r="N60" s="29">
        <v>16.8</v>
      </c>
      <c r="O60" t="s">
        <v>27</v>
      </c>
    </row>
    <row r="61" spans="1:15" ht="14.25">
      <c r="A61" t="s">
        <v>95</v>
      </c>
      <c r="B61" s="2">
        <v>46240</v>
      </c>
      <c r="C61" t="s">
        <v>41</v>
      </c>
      <c r="D61" t="s">
        <v>19</v>
      </c>
      <c r="E61">
        <v>48</v>
      </c>
      <c r="F61" s="3">
        <v>1976</v>
      </c>
      <c r="G61" s="4">
        <v>25</v>
      </c>
      <c r="H61">
        <v>2</v>
      </c>
      <c r="I61">
        <v>2</v>
      </c>
      <c r="J61" t="s">
        <v>39</v>
      </c>
      <c r="K61">
        <v>4</v>
      </c>
      <c r="L61" t="s">
        <v>21</v>
      </c>
      <c r="M61" t="s">
        <v>21</v>
      </c>
      <c r="N61" s="29">
        <v>24.2</v>
      </c>
      <c r="O61" t="s">
        <v>22</v>
      </c>
    </row>
    <row r="62" spans="1:15" ht="14.25">
      <c r="A62" t="s">
        <v>96</v>
      </c>
      <c r="B62" s="2">
        <v>46274</v>
      </c>
      <c r="C62" t="s">
        <v>35</v>
      </c>
      <c r="D62" t="s">
        <v>29</v>
      </c>
      <c r="E62">
        <v>38</v>
      </c>
      <c r="F62" s="3">
        <v>1157</v>
      </c>
      <c r="G62" s="4">
        <v>0</v>
      </c>
      <c r="H62">
        <v>2</v>
      </c>
      <c r="I62">
        <v>1</v>
      </c>
      <c r="J62" t="s">
        <v>30</v>
      </c>
      <c r="K62">
        <v>5</v>
      </c>
      <c r="L62" t="s">
        <v>21</v>
      </c>
      <c r="M62" t="s">
        <v>21</v>
      </c>
      <c r="N62" s="29">
        <v>24.4</v>
      </c>
      <c r="O62" t="s">
        <v>27</v>
      </c>
    </row>
    <row r="63" spans="1:15" ht="14.25">
      <c r="A63" t="s">
        <v>97</v>
      </c>
      <c r="B63" s="2">
        <v>46254</v>
      </c>
      <c r="C63" t="s">
        <v>41</v>
      </c>
      <c r="D63" t="s">
        <v>32</v>
      </c>
      <c r="E63">
        <v>46</v>
      </c>
      <c r="F63" s="3">
        <v>2650</v>
      </c>
      <c r="G63" s="4">
        <v>20</v>
      </c>
      <c r="H63">
        <v>3</v>
      </c>
      <c r="I63">
        <v>3</v>
      </c>
      <c r="J63" t="s">
        <v>33</v>
      </c>
      <c r="K63">
        <v>4</v>
      </c>
      <c r="L63" t="s">
        <v>21</v>
      </c>
      <c r="M63" t="s">
        <v>21</v>
      </c>
      <c r="N63" s="29">
        <v>26.1</v>
      </c>
      <c r="O63" t="s">
        <v>27</v>
      </c>
    </row>
    <row r="64" spans="1:15" ht="14.25">
      <c r="A64" t="s">
        <v>98</v>
      </c>
      <c r="B64" s="2">
        <v>46267</v>
      </c>
      <c r="C64" t="s">
        <v>55</v>
      </c>
      <c r="D64" t="s">
        <v>19</v>
      </c>
      <c r="E64">
        <v>53</v>
      </c>
      <c r="F64" s="3">
        <v>995</v>
      </c>
      <c r="G64" s="4">
        <v>15</v>
      </c>
      <c r="H64">
        <v>1</v>
      </c>
      <c r="I64">
        <v>1</v>
      </c>
      <c r="J64" t="s">
        <v>30</v>
      </c>
      <c r="K64">
        <v>4</v>
      </c>
      <c r="L64" t="s">
        <v>21</v>
      </c>
      <c r="M64" t="s">
        <v>21</v>
      </c>
      <c r="N64" s="29">
        <v>7.5</v>
      </c>
      <c r="O64" t="s">
        <v>27</v>
      </c>
    </row>
    <row r="65" spans="1:15" ht="14.25">
      <c r="A65" t="s">
        <v>99</v>
      </c>
      <c r="B65" s="2">
        <v>46256</v>
      </c>
      <c r="C65" t="s">
        <v>35</v>
      </c>
      <c r="D65" t="s">
        <v>25</v>
      </c>
      <c r="E65">
        <v>48</v>
      </c>
      <c r="F65" s="3">
        <v>1159</v>
      </c>
      <c r="G65" s="4">
        <v>20</v>
      </c>
      <c r="H65">
        <v>2</v>
      </c>
      <c r="I65">
        <v>3</v>
      </c>
      <c r="J65" t="s">
        <v>39</v>
      </c>
      <c r="K65">
        <v>4</v>
      </c>
      <c r="L65" t="s">
        <v>21</v>
      </c>
      <c r="M65" t="s">
        <v>21</v>
      </c>
      <c r="N65" s="29">
        <v>11.7</v>
      </c>
      <c r="O65" t="s">
        <v>22</v>
      </c>
    </row>
    <row r="66" spans="1:15" ht="14.25">
      <c r="A66" t="s">
        <v>100</v>
      </c>
      <c r="B66" s="2">
        <v>46259</v>
      </c>
      <c r="C66" t="s">
        <v>55</v>
      </c>
      <c r="D66" t="s">
        <v>29</v>
      </c>
      <c r="E66">
        <v>18</v>
      </c>
      <c r="F66" s="3">
        <v>1344</v>
      </c>
      <c r="G66" s="4">
        <v>10</v>
      </c>
      <c r="H66">
        <v>2</v>
      </c>
      <c r="I66">
        <v>2</v>
      </c>
      <c r="J66" t="s">
        <v>20</v>
      </c>
      <c r="K66">
        <v>5</v>
      </c>
      <c r="L66" t="s">
        <v>21</v>
      </c>
      <c r="M66" t="s">
        <v>21</v>
      </c>
      <c r="N66" s="29">
        <v>23.7</v>
      </c>
      <c r="O66" t="s">
        <v>27</v>
      </c>
    </row>
    <row r="67" spans="1:15" ht="14.25">
      <c r="A67" t="s">
        <v>101</v>
      </c>
      <c r="B67" s="2">
        <v>46266</v>
      </c>
      <c r="C67" t="s">
        <v>41</v>
      </c>
      <c r="D67" t="s">
        <v>29</v>
      </c>
      <c r="E67">
        <v>30</v>
      </c>
      <c r="F67" s="3">
        <v>3480</v>
      </c>
      <c r="G67" s="4">
        <v>15</v>
      </c>
      <c r="H67">
        <v>3</v>
      </c>
      <c r="I67">
        <v>3</v>
      </c>
      <c r="J67" t="s">
        <v>33</v>
      </c>
      <c r="K67">
        <v>5</v>
      </c>
      <c r="L67" t="s">
        <v>21</v>
      </c>
      <c r="M67" t="s">
        <v>21</v>
      </c>
      <c r="N67" s="29">
        <v>24.2</v>
      </c>
      <c r="O67" t="s">
        <v>27</v>
      </c>
    </row>
    <row r="68" spans="1:15" ht="14.25">
      <c r="A68" t="s">
        <v>102</v>
      </c>
      <c r="B68" s="2">
        <v>46239</v>
      </c>
      <c r="C68" t="s">
        <v>18</v>
      </c>
      <c r="D68" t="s">
        <v>36</v>
      </c>
      <c r="E68">
        <v>50</v>
      </c>
      <c r="F68" s="3">
        <v>3977</v>
      </c>
      <c r="G68" s="4">
        <v>20</v>
      </c>
      <c r="H68">
        <v>3</v>
      </c>
      <c r="I68">
        <v>3</v>
      </c>
      <c r="J68" t="s">
        <v>33</v>
      </c>
      <c r="K68">
        <v>4</v>
      </c>
      <c r="L68" t="s">
        <v>21</v>
      </c>
      <c r="M68" t="s">
        <v>56</v>
      </c>
      <c r="N68" s="29">
        <v>24.5</v>
      </c>
      <c r="O68" t="s">
        <v>27</v>
      </c>
    </row>
    <row r="69" spans="1:15" ht="14.25">
      <c r="A69" t="s">
        <v>103</v>
      </c>
      <c r="B69" s="2">
        <v>46237</v>
      </c>
      <c r="C69" t="s">
        <v>41</v>
      </c>
      <c r="D69" t="s">
        <v>38</v>
      </c>
      <c r="E69">
        <v>34</v>
      </c>
      <c r="F69" s="3">
        <v>1626</v>
      </c>
      <c r="G69" s="4">
        <v>25</v>
      </c>
      <c r="H69">
        <v>2</v>
      </c>
      <c r="I69">
        <v>3</v>
      </c>
      <c r="J69" t="s">
        <v>20</v>
      </c>
      <c r="K69">
        <v>4</v>
      </c>
      <c r="L69" t="s">
        <v>21</v>
      </c>
      <c r="M69" t="s">
        <v>21</v>
      </c>
      <c r="N69" s="29">
        <v>24.1</v>
      </c>
      <c r="O69" t="s">
        <v>22</v>
      </c>
    </row>
    <row r="70" spans="1:15" ht="14.25">
      <c r="A70" t="s">
        <v>104</v>
      </c>
      <c r="B70" s="2">
        <v>46279</v>
      </c>
      <c r="C70" t="s">
        <v>55</v>
      </c>
      <c r="D70" t="s">
        <v>19</v>
      </c>
      <c r="E70">
        <v>33</v>
      </c>
      <c r="F70" s="3">
        <v>2182</v>
      </c>
      <c r="G70" s="4">
        <v>25</v>
      </c>
      <c r="H70">
        <v>2</v>
      </c>
      <c r="I70">
        <v>2</v>
      </c>
      <c r="J70" t="s">
        <v>33</v>
      </c>
      <c r="K70">
        <v>5</v>
      </c>
      <c r="L70" t="s">
        <v>21</v>
      </c>
      <c r="M70" t="s">
        <v>21</v>
      </c>
      <c r="N70" s="29">
        <v>27.9</v>
      </c>
      <c r="O70" t="s">
        <v>27</v>
      </c>
    </row>
    <row r="71" spans="1:15" ht="14.25">
      <c r="A71" t="s">
        <v>105</v>
      </c>
      <c r="B71" s="2">
        <v>46274</v>
      </c>
      <c r="C71" t="s">
        <v>35</v>
      </c>
      <c r="D71" t="s">
        <v>19</v>
      </c>
      <c r="E71">
        <v>20</v>
      </c>
      <c r="F71" s="3">
        <v>846</v>
      </c>
      <c r="G71" s="4">
        <v>10</v>
      </c>
      <c r="H71">
        <v>2</v>
      </c>
      <c r="I71">
        <v>2</v>
      </c>
      <c r="J71" t="s">
        <v>39</v>
      </c>
      <c r="K71">
        <v>5</v>
      </c>
      <c r="L71" t="s">
        <v>21</v>
      </c>
      <c r="M71" t="s">
        <v>21</v>
      </c>
      <c r="N71" s="29">
        <v>12.9</v>
      </c>
      <c r="O71" t="s">
        <v>27</v>
      </c>
    </row>
    <row r="72" spans="1:15" ht="14.25">
      <c r="A72" t="s">
        <v>106</v>
      </c>
      <c r="B72" s="2">
        <v>46245</v>
      </c>
      <c r="C72" t="s">
        <v>24</v>
      </c>
      <c r="D72" t="s">
        <v>25</v>
      </c>
      <c r="E72">
        <v>55</v>
      </c>
      <c r="F72" s="3">
        <v>2073</v>
      </c>
      <c r="G72" s="4">
        <v>5</v>
      </c>
      <c r="H72">
        <v>3</v>
      </c>
      <c r="I72">
        <v>3</v>
      </c>
      <c r="J72" t="s">
        <v>20</v>
      </c>
      <c r="K72">
        <v>5</v>
      </c>
      <c r="L72" t="s">
        <v>21</v>
      </c>
      <c r="M72" t="s">
        <v>21</v>
      </c>
      <c r="N72" s="29">
        <v>13.7</v>
      </c>
      <c r="O72" t="s">
        <v>27</v>
      </c>
    </row>
    <row r="73" spans="1:15" ht="14.25">
      <c r="A73" t="s">
        <v>107</v>
      </c>
      <c r="B73" s="2">
        <v>46279</v>
      </c>
      <c r="C73" t="s">
        <v>18</v>
      </c>
      <c r="D73" t="s">
        <v>25</v>
      </c>
      <c r="E73">
        <v>40</v>
      </c>
      <c r="F73" s="3">
        <v>6301</v>
      </c>
      <c r="G73" s="4">
        <v>15</v>
      </c>
      <c r="H73">
        <v>3</v>
      </c>
      <c r="I73">
        <v>3</v>
      </c>
      <c r="J73" t="s">
        <v>30</v>
      </c>
      <c r="K73">
        <v>5</v>
      </c>
      <c r="L73" t="s">
        <v>21</v>
      </c>
      <c r="M73" t="s">
        <v>21</v>
      </c>
      <c r="N73" s="29">
        <v>13.6</v>
      </c>
      <c r="O73" t="s">
        <v>27</v>
      </c>
    </row>
    <row r="74" spans="1:15" ht="14.25">
      <c r="A74" t="s">
        <v>108</v>
      </c>
      <c r="B74" s="2">
        <v>46273</v>
      </c>
      <c r="C74" t="s">
        <v>35</v>
      </c>
      <c r="D74" t="s">
        <v>19</v>
      </c>
      <c r="E74">
        <v>43</v>
      </c>
      <c r="F74" s="3">
        <v>877</v>
      </c>
      <c r="G74" s="4">
        <v>10</v>
      </c>
      <c r="H74">
        <v>1</v>
      </c>
      <c r="I74">
        <v>1</v>
      </c>
      <c r="J74" t="s">
        <v>33</v>
      </c>
      <c r="K74">
        <v>5</v>
      </c>
      <c r="L74" t="s">
        <v>21</v>
      </c>
      <c r="M74" t="s">
        <v>21</v>
      </c>
      <c r="N74" s="29">
        <v>16.5</v>
      </c>
      <c r="O74" t="s">
        <v>59</v>
      </c>
    </row>
    <row r="75" spans="1:15" ht="14.25">
      <c r="A75" t="s">
        <v>109</v>
      </c>
      <c r="B75" s="2">
        <v>46253</v>
      </c>
      <c r="C75" t="s">
        <v>35</v>
      </c>
      <c r="D75" t="s">
        <v>36</v>
      </c>
      <c r="E75">
        <v>30</v>
      </c>
      <c r="F75" s="3">
        <v>518</v>
      </c>
      <c r="G75" s="4">
        <v>25</v>
      </c>
      <c r="H75">
        <v>2</v>
      </c>
      <c r="I75">
        <v>1</v>
      </c>
      <c r="J75" t="s">
        <v>26</v>
      </c>
      <c r="K75">
        <v>4</v>
      </c>
      <c r="L75" t="s">
        <v>21</v>
      </c>
      <c r="M75" t="s">
        <v>21</v>
      </c>
      <c r="N75" s="29">
        <v>18.100000000000001</v>
      </c>
      <c r="O75" t="s">
        <v>22</v>
      </c>
    </row>
    <row r="76" spans="1:15" ht="14.25">
      <c r="A76" t="s">
        <v>110</v>
      </c>
      <c r="B76" s="2">
        <v>46253</v>
      </c>
      <c r="C76" t="s">
        <v>35</v>
      </c>
      <c r="D76" t="s">
        <v>32</v>
      </c>
      <c r="E76">
        <v>44</v>
      </c>
      <c r="F76" s="3">
        <v>537</v>
      </c>
      <c r="G76" s="4">
        <v>5</v>
      </c>
      <c r="H76">
        <v>2</v>
      </c>
      <c r="I76">
        <v>2</v>
      </c>
      <c r="J76" t="s">
        <v>39</v>
      </c>
      <c r="K76">
        <v>5</v>
      </c>
      <c r="L76" t="s">
        <v>21</v>
      </c>
      <c r="M76" t="s">
        <v>21</v>
      </c>
      <c r="N76" s="29">
        <v>5</v>
      </c>
      <c r="O76" t="s">
        <v>27</v>
      </c>
    </row>
    <row r="77" spans="1:15" ht="14.25">
      <c r="A77" t="s">
        <v>111</v>
      </c>
      <c r="B77" s="2">
        <v>46278</v>
      </c>
      <c r="C77" t="s">
        <v>35</v>
      </c>
      <c r="D77" t="s">
        <v>38</v>
      </c>
      <c r="E77">
        <v>25</v>
      </c>
      <c r="F77" s="3">
        <v>764</v>
      </c>
      <c r="G77" s="4">
        <v>5</v>
      </c>
      <c r="H77">
        <v>2</v>
      </c>
      <c r="I77">
        <v>2</v>
      </c>
      <c r="J77" t="s">
        <v>30</v>
      </c>
      <c r="K77">
        <v>4</v>
      </c>
      <c r="L77" t="s">
        <v>21</v>
      </c>
      <c r="M77" t="s">
        <v>21</v>
      </c>
      <c r="N77" s="29">
        <v>27.1</v>
      </c>
      <c r="O77" t="s">
        <v>27</v>
      </c>
    </row>
    <row r="78" spans="1:15" ht="14.25">
      <c r="A78" t="s">
        <v>112</v>
      </c>
      <c r="B78" s="2">
        <v>46275</v>
      </c>
      <c r="C78" t="s">
        <v>35</v>
      </c>
      <c r="D78" t="s">
        <v>47</v>
      </c>
      <c r="E78">
        <v>42</v>
      </c>
      <c r="F78" s="3">
        <v>927</v>
      </c>
      <c r="G78" s="4">
        <v>25</v>
      </c>
      <c r="H78">
        <v>2</v>
      </c>
      <c r="I78">
        <v>1</v>
      </c>
      <c r="J78" t="s">
        <v>26</v>
      </c>
      <c r="K78">
        <v>5</v>
      </c>
      <c r="L78" t="s">
        <v>21</v>
      </c>
      <c r="M78" t="s">
        <v>21</v>
      </c>
      <c r="N78" s="29">
        <v>4.4000000000000004</v>
      </c>
      <c r="O78" t="s">
        <v>22</v>
      </c>
    </row>
    <row r="79" spans="1:15" ht="14.25">
      <c r="A79" t="s">
        <v>113</v>
      </c>
      <c r="B79" s="2">
        <v>46261</v>
      </c>
      <c r="C79" t="s">
        <v>41</v>
      </c>
      <c r="D79" t="s">
        <v>32</v>
      </c>
      <c r="E79">
        <v>37</v>
      </c>
      <c r="F79" s="3">
        <v>2246</v>
      </c>
      <c r="G79" s="4">
        <v>0</v>
      </c>
      <c r="H79">
        <v>2</v>
      </c>
      <c r="I79">
        <v>1</v>
      </c>
      <c r="J79" t="s">
        <v>20</v>
      </c>
      <c r="K79">
        <v>4</v>
      </c>
      <c r="L79" t="s">
        <v>21</v>
      </c>
      <c r="M79" t="s">
        <v>21</v>
      </c>
      <c r="N79" s="29">
        <v>9.6</v>
      </c>
      <c r="O79" t="s">
        <v>27</v>
      </c>
    </row>
    <row r="80" spans="1:15" ht="14.25">
      <c r="A80" t="s">
        <v>114</v>
      </c>
      <c r="B80" s="2">
        <v>46241</v>
      </c>
      <c r="C80" t="s">
        <v>55</v>
      </c>
      <c r="D80" t="s">
        <v>32</v>
      </c>
      <c r="E80">
        <v>27</v>
      </c>
      <c r="F80" s="3">
        <v>1159</v>
      </c>
      <c r="G80" s="4">
        <v>15</v>
      </c>
      <c r="H80">
        <v>1</v>
      </c>
      <c r="I80">
        <v>1</v>
      </c>
      <c r="J80" t="s">
        <v>30</v>
      </c>
      <c r="K80">
        <v>4</v>
      </c>
      <c r="L80" t="s">
        <v>21</v>
      </c>
      <c r="M80" t="s">
        <v>21</v>
      </c>
      <c r="N80" s="29">
        <v>23.6</v>
      </c>
      <c r="O80" t="s">
        <v>59</v>
      </c>
    </row>
    <row r="81" spans="1:15" ht="14.25">
      <c r="A81" t="s">
        <v>115</v>
      </c>
      <c r="B81" s="2">
        <v>46248</v>
      </c>
      <c r="C81" t="s">
        <v>35</v>
      </c>
      <c r="D81" t="s">
        <v>47</v>
      </c>
      <c r="E81">
        <v>40</v>
      </c>
      <c r="F81" s="3">
        <v>1161</v>
      </c>
      <c r="G81" s="4">
        <v>0</v>
      </c>
      <c r="H81">
        <v>2</v>
      </c>
      <c r="I81">
        <v>3</v>
      </c>
      <c r="J81" t="s">
        <v>20</v>
      </c>
      <c r="K81">
        <v>4</v>
      </c>
      <c r="L81" t="s">
        <v>21</v>
      </c>
      <c r="M81" t="s">
        <v>21</v>
      </c>
      <c r="N81" s="29">
        <v>3.9</v>
      </c>
      <c r="O81" t="s">
        <v>59</v>
      </c>
    </row>
    <row r="82" spans="1:15" ht="14.25">
      <c r="A82" t="s">
        <v>116</v>
      </c>
      <c r="B82" s="2">
        <v>46243</v>
      </c>
      <c r="C82" t="s">
        <v>18</v>
      </c>
      <c r="D82" t="s">
        <v>38</v>
      </c>
      <c r="E82">
        <v>53</v>
      </c>
      <c r="F82" s="3">
        <v>4945</v>
      </c>
      <c r="G82" s="4">
        <v>5</v>
      </c>
      <c r="H82">
        <v>4</v>
      </c>
      <c r="I82">
        <v>4</v>
      </c>
      <c r="J82" t="s">
        <v>33</v>
      </c>
      <c r="K82">
        <v>5</v>
      </c>
      <c r="L82" t="s">
        <v>21</v>
      </c>
      <c r="M82" t="s">
        <v>21</v>
      </c>
      <c r="N82" s="29">
        <v>7.2</v>
      </c>
      <c r="O82" t="s">
        <v>27</v>
      </c>
    </row>
    <row r="83" spans="1:15" ht="14.25">
      <c r="A83" t="s">
        <v>117</v>
      </c>
      <c r="B83" s="2">
        <v>46242</v>
      </c>
      <c r="C83" t="s">
        <v>55</v>
      </c>
      <c r="D83" t="s">
        <v>29</v>
      </c>
      <c r="E83">
        <v>29</v>
      </c>
      <c r="F83" s="3">
        <v>2328</v>
      </c>
      <c r="G83" s="4">
        <v>5</v>
      </c>
      <c r="H83">
        <v>1</v>
      </c>
      <c r="I83">
        <v>2</v>
      </c>
      <c r="J83" t="s">
        <v>20</v>
      </c>
      <c r="K83">
        <v>4</v>
      </c>
      <c r="L83" t="s">
        <v>21</v>
      </c>
      <c r="M83" t="s">
        <v>56</v>
      </c>
      <c r="N83" s="29">
        <v>11</v>
      </c>
      <c r="O83" t="s">
        <v>22</v>
      </c>
    </row>
    <row r="84" spans="1:15" ht="14.25">
      <c r="A84" t="s">
        <v>118</v>
      </c>
      <c r="B84" s="2">
        <v>46254</v>
      </c>
      <c r="C84" t="s">
        <v>18</v>
      </c>
      <c r="D84" t="s">
        <v>25</v>
      </c>
      <c r="E84">
        <v>46</v>
      </c>
      <c r="F84" s="3">
        <v>7395</v>
      </c>
      <c r="G84" s="4">
        <v>10</v>
      </c>
      <c r="H84">
        <v>4</v>
      </c>
      <c r="I84">
        <v>4</v>
      </c>
      <c r="J84" t="s">
        <v>20</v>
      </c>
      <c r="K84">
        <v>5</v>
      </c>
      <c r="L84" t="s">
        <v>21</v>
      </c>
      <c r="M84" t="s">
        <v>21</v>
      </c>
      <c r="N84" s="29">
        <v>17.2</v>
      </c>
      <c r="O84" t="s">
        <v>22</v>
      </c>
    </row>
    <row r="85" spans="1:15" ht="14.25">
      <c r="A85" t="s">
        <v>119</v>
      </c>
      <c r="B85" s="2">
        <v>46274</v>
      </c>
      <c r="C85" t="s">
        <v>41</v>
      </c>
      <c r="D85" t="s">
        <v>32</v>
      </c>
      <c r="E85">
        <v>19</v>
      </c>
      <c r="F85" s="3">
        <v>3871</v>
      </c>
      <c r="G85" s="4">
        <v>15</v>
      </c>
      <c r="H85">
        <v>3</v>
      </c>
      <c r="I85">
        <v>3</v>
      </c>
      <c r="J85" t="s">
        <v>30</v>
      </c>
      <c r="K85">
        <v>4</v>
      </c>
      <c r="L85" t="s">
        <v>21</v>
      </c>
      <c r="M85" t="s">
        <v>21</v>
      </c>
      <c r="N85" s="29">
        <v>19.7</v>
      </c>
      <c r="O85" t="s">
        <v>27</v>
      </c>
    </row>
    <row r="86" spans="1:15" ht="14.25">
      <c r="A86" t="s">
        <v>120</v>
      </c>
      <c r="B86" s="2">
        <v>46281</v>
      </c>
      <c r="C86" t="s">
        <v>55</v>
      </c>
      <c r="D86" t="s">
        <v>47</v>
      </c>
      <c r="E86">
        <v>38</v>
      </c>
      <c r="F86" s="3">
        <v>1655</v>
      </c>
      <c r="G86" s="4">
        <v>15</v>
      </c>
      <c r="H86">
        <v>3</v>
      </c>
      <c r="I86">
        <v>4</v>
      </c>
      <c r="J86" t="s">
        <v>20</v>
      </c>
      <c r="K86">
        <v>4</v>
      </c>
      <c r="L86" t="s">
        <v>21</v>
      </c>
      <c r="M86" t="s">
        <v>21</v>
      </c>
      <c r="N86" s="29">
        <v>15.6</v>
      </c>
      <c r="O86" t="s">
        <v>22</v>
      </c>
    </row>
    <row r="87" spans="1:15" ht="14.25">
      <c r="A87" t="s">
        <v>121</v>
      </c>
      <c r="B87" s="2">
        <v>46239</v>
      </c>
      <c r="C87" t="s">
        <v>24</v>
      </c>
      <c r="D87" t="s">
        <v>25</v>
      </c>
      <c r="E87">
        <v>46</v>
      </c>
      <c r="F87" s="3">
        <v>2509</v>
      </c>
      <c r="G87" s="4">
        <v>15</v>
      </c>
      <c r="H87">
        <v>3</v>
      </c>
      <c r="I87">
        <v>6</v>
      </c>
      <c r="J87" t="s">
        <v>39</v>
      </c>
      <c r="K87">
        <v>2</v>
      </c>
      <c r="L87" t="s">
        <v>21</v>
      </c>
      <c r="M87" t="s">
        <v>21</v>
      </c>
      <c r="N87" s="29">
        <v>12.5</v>
      </c>
      <c r="O87" t="s">
        <v>22</v>
      </c>
    </row>
    <row r="88" spans="1:15" ht="14.25">
      <c r="A88" t="s">
        <v>122</v>
      </c>
      <c r="B88" s="2">
        <v>46261</v>
      </c>
      <c r="C88" t="s">
        <v>18</v>
      </c>
      <c r="D88" t="s">
        <v>38</v>
      </c>
      <c r="E88">
        <v>23</v>
      </c>
      <c r="F88" s="3">
        <v>2529</v>
      </c>
      <c r="G88" s="4">
        <v>0</v>
      </c>
      <c r="H88">
        <v>3</v>
      </c>
      <c r="I88">
        <v>3</v>
      </c>
      <c r="J88" t="s">
        <v>26</v>
      </c>
      <c r="K88">
        <v>5</v>
      </c>
      <c r="L88" t="s">
        <v>21</v>
      </c>
      <c r="M88" t="s">
        <v>21</v>
      </c>
      <c r="N88" s="29">
        <v>4.0999999999999996</v>
      </c>
      <c r="O88" t="s">
        <v>27</v>
      </c>
    </row>
    <row r="89" spans="1:15" ht="14.25">
      <c r="A89" t="s">
        <v>123</v>
      </c>
      <c r="B89" s="2">
        <v>46258</v>
      </c>
      <c r="C89" t="s">
        <v>35</v>
      </c>
      <c r="D89" t="s">
        <v>38</v>
      </c>
      <c r="E89">
        <v>45</v>
      </c>
      <c r="F89" s="3">
        <v>1277</v>
      </c>
      <c r="G89" s="4">
        <v>10</v>
      </c>
      <c r="H89">
        <v>3</v>
      </c>
      <c r="I89">
        <v>4</v>
      </c>
      <c r="J89" t="s">
        <v>20</v>
      </c>
      <c r="K89">
        <v>3</v>
      </c>
      <c r="L89" t="s">
        <v>21</v>
      </c>
      <c r="M89" t="s">
        <v>21</v>
      </c>
      <c r="N89" s="29">
        <v>9.8000000000000007</v>
      </c>
      <c r="O89" t="s">
        <v>27</v>
      </c>
    </row>
    <row r="90" spans="1:15" ht="14.25">
      <c r="A90" t="s">
        <v>124</v>
      </c>
      <c r="B90" s="2">
        <v>46236</v>
      </c>
      <c r="C90" t="s">
        <v>18</v>
      </c>
      <c r="D90" t="s">
        <v>38</v>
      </c>
      <c r="E90">
        <v>35</v>
      </c>
      <c r="F90" s="3">
        <v>1255</v>
      </c>
      <c r="G90" s="4">
        <v>20</v>
      </c>
      <c r="H90">
        <v>3</v>
      </c>
      <c r="I90">
        <v>4</v>
      </c>
      <c r="J90" t="s">
        <v>30</v>
      </c>
      <c r="K90">
        <v>4</v>
      </c>
      <c r="L90" t="s">
        <v>21</v>
      </c>
      <c r="M90" t="s">
        <v>56</v>
      </c>
      <c r="N90" s="29">
        <v>22.9</v>
      </c>
      <c r="O90" t="s">
        <v>59</v>
      </c>
    </row>
    <row r="91" spans="1:15" ht="14.25">
      <c r="A91" t="s">
        <v>125</v>
      </c>
      <c r="B91" s="2">
        <v>46261</v>
      </c>
      <c r="C91" t="s">
        <v>24</v>
      </c>
      <c r="D91" t="s">
        <v>29</v>
      </c>
      <c r="E91">
        <v>37</v>
      </c>
      <c r="F91" s="3">
        <v>2537</v>
      </c>
      <c r="G91" s="4">
        <v>5</v>
      </c>
      <c r="H91">
        <v>3</v>
      </c>
      <c r="I91">
        <v>3</v>
      </c>
      <c r="J91" t="s">
        <v>39</v>
      </c>
      <c r="K91">
        <v>5</v>
      </c>
      <c r="L91" t="s">
        <v>21</v>
      </c>
      <c r="M91" t="s">
        <v>56</v>
      </c>
      <c r="N91" s="29">
        <v>16.5</v>
      </c>
      <c r="O91" t="s">
        <v>22</v>
      </c>
    </row>
    <row r="92" spans="1:15" ht="14.25">
      <c r="A92" t="s">
        <v>126</v>
      </c>
      <c r="B92" s="2">
        <v>46278</v>
      </c>
      <c r="C92" t="s">
        <v>41</v>
      </c>
      <c r="D92" t="s">
        <v>29</v>
      </c>
      <c r="E92">
        <v>28</v>
      </c>
      <c r="F92" s="3">
        <v>2071</v>
      </c>
      <c r="G92" s="4">
        <v>10</v>
      </c>
      <c r="H92">
        <v>3</v>
      </c>
      <c r="I92">
        <v>4</v>
      </c>
      <c r="J92" t="s">
        <v>26</v>
      </c>
      <c r="K92">
        <v>4</v>
      </c>
      <c r="L92" t="s">
        <v>21</v>
      </c>
      <c r="M92" t="s">
        <v>21</v>
      </c>
      <c r="N92" s="29">
        <v>20.6</v>
      </c>
      <c r="O92" t="s">
        <v>22</v>
      </c>
    </row>
    <row r="93" spans="1:15" ht="14.25">
      <c r="A93" t="s">
        <v>127</v>
      </c>
      <c r="B93" s="2">
        <v>46277</v>
      </c>
      <c r="C93" t="s">
        <v>18</v>
      </c>
      <c r="D93" t="s">
        <v>29</v>
      </c>
      <c r="E93">
        <v>46</v>
      </c>
      <c r="F93" s="3">
        <v>2685</v>
      </c>
      <c r="G93" s="4">
        <v>15</v>
      </c>
      <c r="H93">
        <v>3</v>
      </c>
      <c r="I93">
        <v>2</v>
      </c>
      <c r="J93" t="s">
        <v>20</v>
      </c>
      <c r="K93">
        <v>4</v>
      </c>
      <c r="L93" t="s">
        <v>21</v>
      </c>
      <c r="M93" t="s">
        <v>21</v>
      </c>
      <c r="N93" s="29">
        <v>8.6999999999999993</v>
      </c>
      <c r="O93" t="s">
        <v>22</v>
      </c>
    </row>
    <row r="94" spans="1:15" ht="14.25">
      <c r="A94" t="s">
        <v>128</v>
      </c>
      <c r="B94" s="2">
        <v>46282</v>
      </c>
      <c r="C94" t="s">
        <v>35</v>
      </c>
      <c r="D94" t="s">
        <v>19</v>
      </c>
      <c r="E94">
        <v>32</v>
      </c>
      <c r="F94" s="3">
        <v>556</v>
      </c>
      <c r="G94" s="4">
        <v>15</v>
      </c>
      <c r="H94">
        <v>3</v>
      </c>
      <c r="I94">
        <v>3</v>
      </c>
      <c r="J94" t="s">
        <v>39</v>
      </c>
      <c r="K94">
        <v>5</v>
      </c>
      <c r="L94" t="s">
        <v>21</v>
      </c>
      <c r="M94" t="s">
        <v>21</v>
      </c>
      <c r="N94" s="29">
        <v>3</v>
      </c>
      <c r="O94" t="s">
        <v>27</v>
      </c>
    </row>
    <row r="95" spans="1:15" ht="14.25">
      <c r="A95" t="s">
        <v>129</v>
      </c>
      <c r="B95" s="2">
        <v>46255</v>
      </c>
      <c r="C95" t="s">
        <v>41</v>
      </c>
      <c r="D95" t="s">
        <v>36</v>
      </c>
      <c r="E95">
        <v>26</v>
      </c>
      <c r="F95" s="3">
        <v>1233</v>
      </c>
      <c r="G95" s="4">
        <v>20</v>
      </c>
      <c r="H95">
        <v>4</v>
      </c>
      <c r="I95">
        <v>3</v>
      </c>
      <c r="J95" t="s">
        <v>26</v>
      </c>
      <c r="K95">
        <v>4</v>
      </c>
      <c r="L95" t="s">
        <v>21</v>
      </c>
      <c r="M95" t="s">
        <v>21</v>
      </c>
      <c r="N95" s="29">
        <v>23.6</v>
      </c>
      <c r="O95" t="s">
        <v>27</v>
      </c>
    </row>
    <row r="96" spans="1:15" ht="14.25">
      <c r="A96" t="s">
        <v>130</v>
      </c>
      <c r="B96" s="2">
        <v>46240</v>
      </c>
      <c r="C96" t="s">
        <v>55</v>
      </c>
      <c r="D96" t="s">
        <v>25</v>
      </c>
      <c r="E96">
        <v>54</v>
      </c>
      <c r="F96" s="3">
        <v>2039</v>
      </c>
      <c r="G96" s="4">
        <v>15</v>
      </c>
      <c r="H96">
        <v>2</v>
      </c>
      <c r="I96">
        <v>2</v>
      </c>
      <c r="J96" t="s">
        <v>30</v>
      </c>
      <c r="K96">
        <v>4</v>
      </c>
      <c r="L96" t="s">
        <v>21</v>
      </c>
      <c r="M96" t="s">
        <v>21</v>
      </c>
      <c r="N96" s="29">
        <v>9.1999999999999993</v>
      </c>
      <c r="O96" t="s">
        <v>22</v>
      </c>
    </row>
    <row r="97" spans="1:15" ht="14.25">
      <c r="A97" t="s">
        <v>131</v>
      </c>
      <c r="B97" s="2">
        <v>46267</v>
      </c>
      <c r="C97" t="s">
        <v>41</v>
      </c>
      <c r="D97" t="s">
        <v>38</v>
      </c>
      <c r="E97">
        <v>24</v>
      </c>
      <c r="F97" s="3">
        <v>2667</v>
      </c>
      <c r="G97" s="4">
        <v>20</v>
      </c>
      <c r="H97">
        <v>2</v>
      </c>
      <c r="I97">
        <v>2</v>
      </c>
      <c r="J97" t="s">
        <v>20</v>
      </c>
      <c r="K97">
        <v>4</v>
      </c>
      <c r="L97" t="s">
        <v>21</v>
      </c>
      <c r="M97" t="s">
        <v>21</v>
      </c>
      <c r="N97" s="29">
        <v>12</v>
      </c>
      <c r="O97" t="s">
        <v>22</v>
      </c>
    </row>
    <row r="98" spans="1:15" ht="14.25">
      <c r="A98" t="s">
        <v>132</v>
      </c>
      <c r="B98" s="2">
        <v>46264</v>
      </c>
      <c r="C98" t="s">
        <v>24</v>
      </c>
      <c r="D98" t="s">
        <v>38</v>
      </c>
      <c r="E98">
        <v>40</v>
      </c>
      <c r="F98" s="3">
        <v>2998</v>
      </c>
      <c r="G98" s="4">
        <v>10</v>
      </c>
      <c r="H98">
        <v>3</v>
      </c>
      <c r="I98">
        <v>4</v>
      </c>
      <c r="J98" t="s">
        <v>39</v>
      </c>
      <c r="K98">
        <v>3</v>
      </c>
      <c r="L98" t="s">
        <v>21</v>
      </c>
      <c r="M98" t="s">
        <v>21</v>
      </c>
      <c r="N98" s="29">
        <v>7.8</v>
      </c>
      <c r="O98" t="s">
        <v>27</v>
      </c>
    </row>
    <row r="99" spans="1:15" ht="14.25">
      <c r="A99" t="s">
        <v>133</v>
      </c>
      <c r="B99" s="2">
        <v>46272</v>
      </c>
      <c r="C99" t="s">
        <v>55</v>
      </c>
      <c r="D99" t="s">
        <v>38</v>
      </c>
      <c r="E99">
        <v>55</v>
      </c>
      <c r="F99" s="3">
        <v>250</v>
      </c>
      <c r="G99" s="4">
        <v>20</v>
      </c>
      <c r="H99">
        <v>3</v>
      </c>
      <c r="I99">
        <v>3</v>
      </c>
      <c r="J99" t="s">
        <v>30</v>
      </c>
      <c r="K99">
        <v>4</v>
      </c>
      <c r="L99" t="s">
        <v>21</v>
      </c>
      <c r="M99" t="s">
        <v>21</v>
      </c>
      <c r="N99" s="29">
        <v>10.1</v>
      </c>
      <c r="O99" t="s">
        <v>27</v>
      </c>
    </row>
    <row r="100" spans="1:15" ht="14.25">
      <c r="A100" t="s">
        <v>134</v>
      </c>
      <c r="B100" s="2">
        <v>46273</v>
      </c>
      <c r="C100" t="s">
        <v>18</v>
      </c>
      <c r="D100" t="s">
        <v>29</v>
      </c>
      <c r="E100">
        <v>50</v>
      </c>
      <c r="F100" s="3">
        <v>5991</v>
      </c>
      <c r="G100" s="4">
        <v>0</v>
      </c>
      <c r="H100">
        <v>3</v>
      </c>
      <c r="I100">
        <v>5</v>
      </c>
      <c r="J100" t="s">
        <v>20</v>
      </c>
      <c r="K100">
        <v>3</v>
      </c>
      <c r="L100" t="s">
        <v>56</v>
      </c>
      <c r="M100" t="s">
        <v>21</v>
      </c>
      <c r="N100" s="29">
        <v>13.7</v>
      </c>
      <c r="O100" t="s">
        <v>22</v>
      </c>
    </row>
    <row r="101" spans="1:15" ht="14.25">
      <c r="A101" t="s">
        <v>135</v>
      </c>
      <c r="B101" s="2">
        <v>46256</v>
      </c>
      <c r="C101" t="s">
        <v>55</v>
      </c>
      <c r="D101" t="s">
        <v>25</v>
      </c>
      <c r="E101">
        <v>47</v>
      </c>
      <c r="F101" s="3">
        <v>250</v>
      </c>
      <c r="G101" s="4">
        <v>25</v>
      </c>
      <c r="H101">
        <v>1</v>
      </c>
      <c r="I101">
        <v>1</v>
      </c>
      <c r="J101" t="s">
        <v>26</v>
      </c>
      <c r="K101">
        <v>4</v>
      </c>
      <c r="L101" t="s">
        <v>21</v>
      </c>
      <c r="M101" t="s">
        <v>21</v>
      </c>
      <c r="N101" s="29">
        <v>13.4</v>
      </c>
      <c r="O101" t="s">
        <v>27</v>
      </c>
    </row>
    <row r="102" spans="1:15" ht="14.25">
      <c r="A102" t="s">
        <v>136</v>
      </c>
      <c r="B102" s="2">
        <v>46256</v>
      </c>
      <c r="C102" t="s">
        <v>18</v>
      </c>
      <c r="D102" t="s">
        <v>47</v>
      </c>
      <c r="E102">
        <v>29</v>
      </c>
      <c r="F102" s="3">
        <v>1197</v>
      </c>
      <c r="G102" s="4">
        <v>0</v>
      </c>
      <c r="H102">
        <v>3</v>
      </c>
      <c r="I102">
        <v>4</v>
      </c>
      <c r="J102" t="s">
        <v>39</v>
      </c>
      <c r="K102">
        <v>4</v>
      </c>
      <c r="L102" t="s">
        <v>21</v>
      </c>
      <c r="M102" t="s">
        <v>21</v>
      </c>
      <c r="N102" s="29">
        <v>20.3</v>
      </c>
      <c r="O102" t="s">
        <v>27</v>
      </c>
    </row>
    <row r="103" spans="1:15" ht="14.25">
      <c r="A103" t="s">
        <v>137</v>
      </c>
      <c r="B103" s="2">
        <v>46254</v>
      </c>
      <c r="C103" t="s">
        <v>55</v>
      </c>
      <c r="D103" t="s">
        <v>19</v>
      </c>
      <c r="E103">
        <v>39</v>
      </c>
      <c r="F103" s="3">
        <v>1644</v>
      </c>
      <c r="G103" s="4">
        <v>25</v>
      </c>
      <c r="H103">
        <v>2</v>
      </c>
      <c r="I103">
        <v>3</v>
      </c>
      <c r="J103" t="s">
        <v>30</v>
      </c>
      <c r="K103">
        <v>4</v>
      </c>
      <c r="L103" t="s">
        <v>21</v>
      </c>
      <c r="M103" t="s">
        <v>21</v>
      </c>
      <c r="N103" s="29">
        <v>9</v>
      </c>
      <c r="O103" t="s">
        <v>27</v>
      </c>
    </row>
    <row r="104" spans="1:15" ht="14.25">
      <c r="A104" t="s">
        <v>138</v>
      </c>
      <c r="B104" s="2">
        <v>46240</v>
      </c>
      <c r="C104" t="s">
        <v>41</v>
      </c>
      <c r="D104" t="s">
        <v>36</v>
      </c>
      <c r="E104">
        <v>23</v>
      </c>
      <c r="F104" s="3">
        <v>2815</v>
      </c>
      <c r="G104" s="4">
        <v>10</v>
      </c>
      <c r="H104">
        <v>4</v>
      </c>
      <c r="I104">
        <v>4</v>
      </c>
      <c r="J104" t="s">
        <v>20</v>
      </c>
      <c r="K104">
        <v>5</v>
      </c>
      <c r="L104" t="s">
        <v>21</v>
      </c>
      <c r="M104" t="s">
        <v>21</v>
      </c>
      <c r="N104" s="29">
        <v>11.5</v>
      </c>
      <c r="O104" t="s">
        <v>22</v>
      </c>
    </row>
    <row r="105" spans="1:15" ht="14.25">
      <c r="A105" t="s">
        <v>139</v>
      </c>
      <c r="B105" s="2">
        <v>46269</v>
      </c>
      <c r="C105" t="s">
        <v>41</v>
      </c>
      <c r="D105" t="s">
        <v>47</v>
      </c>
      <c r="E105">
        <v>41</v>
      </c>
      <c r="F105" s="3">
        <v>3624</v>
      </c>
      <c r="G105" s="4">
        <v>5</v>
      </c>
      <c r="H105">
        <v>3</v>
      </c>
      <c r="I105">
        <v>3</v>
      </c>
      <c r="J105" t="s">
        <v>20</v>
      </c>
      <c r="K105">
        <v>5</v>
      </c>
      <c r="L105" t="s">
        <v>21</v>
      </c>
      <c r="M105" t="s">
        <v>21</v>
      </c>
      <c r="N105" s="29">
        <v>26.6</v>
      </c>
      <c r="O105" t="s">
        <v>22</v>
      </c>
    </row>
    <row r="106" spans="1:15" ht="14.25">
      <c r="A106" t="s">
        <v>140</v>
      </c>
      <c r="B106" s="2">
        <v>46237</v>
      </c>
      <c r="C106" t="s">
        <v>55</v>
      </c>
      <c r="D106" t="s">
        <v>19</v>
      </c>
      <c r="E106">
        <v>39</v>
      </c>
      <c r="F106" s="3">
        <v>1458</v>
      </c>
      <c r="G106" s="4">
        <v>20</v>
      </c>
      <c r="H106">
        <v>2</v>
      </c>
      <c r="I106">
        <v>3</v>
      </c>
      <c r="J106" t="s">
        <v>39</v>
      </c>
      <c r="K106">
        <v>4</v>
      </c>
      <c r="L106" t="s">
        <v>21</v>
      </c>
      <c r="M106" t="s">
        <v>21</v>
      </c>
      <c r="N106" s="29">
        <v>17.3</v>
      </c>
      <c r="O106" t="s">
        <v>27</v>
      </c>
    </row>
    <row r="107" spans="1:15" ht="14.25">
      <c r="A107" t="s">
        <v>141</v>
      </c>
      <c r="B107" s="2">
        <v>46264</v>
      </c>
      <c r="C107" t="s">
        <v>41</v>
      </c>
      <c r="D107" t="s">
        <v>29</v>
      </c>
      <c r="E107">
        <v>33</v>
      </c>
      <c r="F107" s="3">
        <v>4218</v>
      </c>
      <c r="G107" s="4">
        <v>25</v>
      </c>
      <c r="H107">
        <v>3</v>
      </c>
      <c r="I107">
        <v>6</v>
      </c>
      <c r="J107" t="s">
        <v>39</v>
      </c>
      <c r="K107">
        <v>3</v>
      </c>
      <c r="L107" t="s">
        <v>21</v>
      </c>
      <c r="M107" t="s">
        <v>21</v>
      </c>
      <c r="N107" s="29">
        <v>7.7</v>
      </c>
      <c r="O107" t="s">
        <v>22</v>
      </c>
    </row>
    <row r="108" spans="1:15" ht="14.25">
      <c r="A108" t="s">
        <v>142</v>
      </c>
      <c r="B108" s="2">
        <v>46270</v>
      </c>
      <c r="C108" t="s">
        <v>35</v>
      </c>
      <c r="D108" t="s">
        <v>38</v>
      </c>
      <c r="E108">
        <v>42</v>
      </c>
      <c r="F108" s="3">
        <v>808</v>
      </c>
      <c r="G108" s="4">
        <v>20</v>
      </c>
      <c r="H108">
        <v>3</v>
      </c>
      <c r="I108">
        <v>4</v>
      </c>
      <c r="J108" t="s">
        <v>30</v>
      </c>
      <c r="K108">
        <v>4</v>
      </c>
      <c r="L108" t="s">
        <v>21</v>
      </c>
      <c r="M108" t="s">
        <v>21</v>
      </c>
      <c r="N108" s="29">
        <v>12.6</v>
      </c>
      <c r="O108" t="s">
        <v>22</v>
      </c>
    </row>
    <row r="109" spans="1:15" ht="14.25">
      <c r="A109" t="s">
        <v>143</v>
      </c>
      <c r="B109" s="2">
        <v>46261</v>
      </c>
      <c r="C109" t="s">
        <v>18</v>
      </c>
      <c r="D109" t="s">
        <v>32</v>
      </c>
      <c r="E109">
        <v>51</v>
      </c>
      <c r="F109" s="3">
        <v>5415</v>
      </c>
      <c r="G109" s="4">
        <v>5</v>
      </c>
      <c r="H109">
        <v>3</v>
      </c>
      <c r="I109">
        <v>3</v>
      </c>
      <c r="J109" t="s">
        <v>26</v>
      </c>
      <c r="K109">
        <v>4</v>
      </c>
      <c r="L109" t="s">
        <v>21</v>
      </c>
      <c r="M109" t="s">
        <v>21</v>
      </c>
      <c r="N109" s="29">
        <v>13.4</v>
      </c>
      <c r="O109" t="s">
        <v>22</v>
      </c>
    </row>
    <row r="110" spans="1:15" ht="14.25">
      <c r="A110" t="s">
        <v>144</v>
      </c>
      <c r="B110" s="2">
        <v>46243</v>
      </c>
      <c r="C110" t="s">
        <v>18</v>
      </c>
      <c r="D110" t="s">
        <v>25</v>
      </c>
      <c r="E110">
        <v>50</v>
      </c>
      <c r="F110" s="3">
        <v>2551</v>
      </c>
      <c r="G110" s="4">
        <v>10</v>
      </c>
      <c r="H110">
        <v>3</v>
      </c>
      <c r="I110">
        <v>4</v>
      </c>
      <c r="J110" t="s">
        <v>33</v>
      </c>
      <c r="K110">
        <v>3</v>
      </c>
      <c r="L110" t="s">
        <v>21</v>
      </c>
      <c r="M110" t="s">
        <v>21</v>
      </c>
      <c r="N110" s="29">
        <v>11.7</v>
      </c>
      <c r="O110" t="s">
        <v>22</v>
      </c>
    </row>
    <row r="111" spans="1:15" ht="14.25">
      <c r="A111" t="s">
        <v>145</v>
      </c>
      <c r="B111" s="2">
        <v>46268</v>
      </c>
      <c r="C111" t="s">
        <v>18</v>
      </c>
      <c r="D111" t="s">
        <v>29</v>
      </c>
      <c r="E111">
        <v>48</v>
      </c>
      <c r="F111" s="3">
        <v>3745</v>
      </c>
      <c r="G111" s="4">
        <v>25</v>
      </c>
      <c r="H111">
        <v>3</v>
      </c>
      <c r="I111">
        <v>4</v>
      </c>
      <c r="J111" t="s">
        <v>20</v>
      </c>
      <c r="K111">
        <v>3</v>
      </c>
      <c r="L111" t="s">
        <v>21</v>
      </c>
      <c r="M111" t="s">
        <v>21</v>
      </c>
      <c r="N111" s="29">
        <v>13.4</v>
      </c>
      <c r="O111" t="s">
        <v>59</v>
      </c>
    </row>
    <row r="112" spans="1:15" ht="14.25">
      <c r="A112" t="s">
        <v>146</v>
      </c>
      <c r="B112" s="2">
        <v>46275</v>
      </c>
      <c r="C112" t="s">
        <v>41</v>
      </c>
      <c r="D112" t="s">
        <v>19</v>
      </c>
      <c r="E112">
        <v>36</v>
      </c>
      <c r="F112" s="3">
        <v>1981</v>
      </c>
      <c r="G112" s="4">
        <v>5</v>
      </c>
      <c r="H112">
        <v>3</v>
      </c>
      <c r="I112">
        <v>4</v>
      </c>
      <c r="J112" t="s">
        <v>26</v>
      </c>
      <c r="K112">
        <v>4</v>
      </c>
      <c r="L112" t="s">
        <v>21</v>
      </c>
      <c r="M112" t="s">
        <v>21</v>
      </c>
      <c r="N112" s="29">
        <v>4.7</v>
      </c>
      <c r="O112" t="s">
        <v>22</v>
      </c>
    </row>
    <row r="113" spans="1:15" ht="14.25">
      <c r="A113" t="s">
        <v>147</v>
      </c>
      <c r="B113" s="2">
        <v>46269</v>
      </c>
      <c r="C113" t="s">
        <v>55</v>
      </c>
      <c r="D113" t="s">
        <v>47</v>
      </c>
      <c r="E113">
        <v>33</v>
      </c>
      <c r="F113" s="3">
        <v>1302</v>
      </c>
      <c r="G113" s="4">
        <v>0</v>
      </c>
      <c r="H113">
        <v>3</v>
      </c>
      <c r="I113">
        <v>3</v>
      </c>
      <c r="J113" t="s">
        <v>20</v>
      </c>
      <c r="K113">
        <v>5</v>
      </c>
      <c r="L113" t="s">
        <v>21</v>
      </c>
      <c r="M113" t="s">
        <v>21</v>
      </c>
      <c r="N113" s="29">
        <v>10.8</v>
      </c>
      <c r="O113" t="s">
        <v>27</v>
      </c>
    </row>
    <row r="114" spans="1:15" ht="14.25">
      <c r="A114" t="s">
        <v>148</v>
      </c>
      <c r="B114" s="2">
        <v>46250</v>
      </c>
      <c r="C114" t="s">
        <v>55</v>
      </c>
      <c r="D114" t="s">
        <v>38</v>
      </c>
      <c r="E114">
        <v>50</v>
      </c>
      <c r="F114" s="3">
        <v>911</v>
      </c>
      <c r="G114" s="4">
        <v>20</v>
      </c>
      <c r="H114">
        <v>1</v>
      </c>
      <c r="I114">
        <v>1</v>
      </c>
      <c r="J114" t="s">
        <v>30</v>
      </c>
      <c r="K114">
        <v>5</v>
      </c>
      <c r="L114" t="s">
        <v>21</v>
      </c>
      <c r="M114" t="s">
        <v>56</v>
      </c>
      <c r="N114" s="29">
        <v>11.8</v>
      </c>
      <c r="O114" t="s">
        <v>22</v>
      </c>
    </row>
    <row r="115" spans="1:15" ht="14.25">
      <c r="A115" t="s">
        <v>149</v>
      </c>
      <c r="B115" s="2">
        <v>46243</v>
      </c>
      <c r="C115" t="s">
        <v>18</v>
      </c>
      <c r="D115" t="s">
        <v>38</v>
      </c>
      <c r="E115">
        <v>55</v>
      </c>
      <c r="F115" s="3">
        <v>3991</v>
      </c>
      <c r="G115" s="4">
        <v>0</v>
      </c>
      <c r="H115">
        <v>3</v>
      </c>
      <c r="I115">
        <v>3</v>
      </c>
      <c r="J115" t="s">
        <v>33</v>
      </c>
      <c r="K115">
        <v>5</v>
      </c>
      <c r="L115" t="s">
        <v>21</v>
      </c>
      <c r="M115" t="s">
        <v>21</v>
      </c>
      <c r="N115" s="29">
        <v>16</v>
      </c>
      <c r="O115" t="s">
        <v>27</v>
      </c>
    </row>
    <row r="116" spans="1:15" ht="14.25">
      <c r="A116" t="s">
        <v>150</v>
      </c>
      <c r="B116" s="2">
        <v>46251</v>
      </c>
      <c r="C116" t="s">
        <v>18</v>
      </c>
      <c r="D116" t="s">
        <v>32</v>
      </c>
      <c r="E116">
        <v>47</v>
      </c>
      <c r="F116" s="3">
        <v>1961</v>
      </c>
      <c r="G116" s="4">
        <v>0</v>
      </c>
      <c r="H116">
        <v>3</v>
      </c>
      <c r="I116">
        <v>2</v>
      </c>
      <c r="J116" t="s">
        <v>39</v>
      </c>
      <c r="K116">
        <v>4</v>
      </c>
      <c r="L116" t="s">
        <v>21</v>
      </c>
      <c r="M116" t="s">
        <v>21</v>
      </c>
      <c r="N116" s="29">
        <v>6.8</v>
      </c>
      <c r="O116" t="s">
        <v>22</v>
      </c>
    </row>
    <row r="117" spans="1:15" ht="14.25">
      <c r="A117" t="s">
        <v>151</v>
      </c>
      <c r="B117" s="2">
        <v>46266</v>
      </c>
      <c r="C117" t="s">
        <v>18</v>
      </c>
      <c r="D117" t="s">
        <v>38</v>
      </c>
      <c r="E117">
        <v>30</v>
      </c>
      <c r="F117" s="3">
        <v>3080</v>
      </c>
      <c r="G117" s="4">
        <v>0</v>
      </c>
      <c r="H117">
        <v>3</v>
      </c>
      <c r="I117">
        <v>3</v>
      </c>
      <c r="J117" t="s">
        <v>33</v>
      </c>
      <c r="K117">
        <v>5</v>
      </c>
      <c r="L117" t="s">
        <v>21</v>
      </c>
      <c r="M117" t="s">
        <v>21</v>
      </c>
      <c r="N117" s="29">
        <v>8.6999999999999993</v>
      </c>
      <c r="O117" t="s">
        <v>27</v>
      </c>
    </row>
    <row r="118" spans="1:15" ht="14.25">
      <c r="A118" t="s">
        <v>152</v>
      </c>
      <c r="B118" s="2">
        <v>46263</v>
      </c>
      <c r="C118" t="s">
        <v>41</v>
      </c>
      <c r="D118" t="s">
        <v>29</v>
      </c>
      <c r="E118">
        <v>51</v>
      </c>
      <c r="F118" s="3">
        <v>4927</v>
      </c>
      <c r="G118" s="4">
        <v>10</v>
      </c>
      <c r="H118">
        <v>2</v>
      </c>
      <c r="I118">
        <v>3</v>
      </c>
      <c r="J118" t="s">
        <v>30</v>
      </c>
      <c r="K118">
        <v>4</v>
      </c>
      <c r="L118" t="s">
        <v>21</v>
      </c>
      <c r="M118" t="s">
        <v>21</v>
      </c>
      <c r="N118" s="29">
        <v>20.8</v>
      </c>
      <c r="O118" t="s">
        <v>22</v>
      </c>
    </row>
    <row r="119" spans="1:15" ht="14.25">
      <c r="A119" t="s">
        <v>153</v>
      </c>
      <c r="B119" s="2">
        <v>46277</v>
      </c>
      <c r="C119" t="s">
        <v>55</v>
      </c>
      <c r="D119" t="s">
        <v>32</v>
      </c>
      <c r="E119">
        <v>45</v>
      </c>
      <c r="F119" s="3">
        <v>1725</v>
      </c>
      <c r="G119" s="4">
        <v>15</v>
      </c>
      <c r="H119">
        <v>1</v>
      </c>
      <c r="I119">
        <v>2</v>
      </c>
      <c r="J119" t="s">
        <v>26</v>
      </c>
      <c r="K119">
        <v>4</v>
      </c>
      <c r="L119" t="s">
        <v>21</v>
      </c>
      <c r="M119" t="s">
        <v>21</v>
      </c>
      <c r="N119" s="29">
        <v>20.8</v>
      </c>
      <c r="O119" t="s">
        <v>59</v>
      </c>
    </row>
    <row r="120" spans="1:15" ht="14.25">
      <c r="A120" t="s">
        <v>154</v>
      </c>
      <c r="B120" s="2">
        <v>46271</v>
      </c>
      <c r="C120" t="s">
        <v>41</v>
      </c>
      <c r="D120" t="s">
        <v>29</v>
      </c>
      <c r="E120">
        <v>50</v>
      </c>
      <c r="F120" s="3">
        <v>3725</v>
      </c>
      <c r="G120" s="4">
        <v>25</v>
      </c>
      <c r="H120">
        <v>3</v>
      </c>
      <c r="I120">
        <v>6</v>
      </c>
      <c r="J120" t="s">
        <v>39</v>
      </c>
      <c r="K120">
        <v>2</v>
      </c>
      <c r="L120" t="s">
        <v>56</v>
      </c>
      <c r="M120" t="s">
        <v>21</v>
      </c>
      <c r="N120" s="29">
        <v>26.7</v>
      </c>
      <c r="O120" t="s">
        <v>27</v>
      </c>
    </row>
    <row r="121" spans="1:15" ht="14.25">
      <c r="A121" t="s">
        <v>155</v>
      </c>
      <c r="B121" s="2">
        <v>46282</v>
      </c>
      <c r="C121" t="s">
        <v>18</v>
      </c>
      <c r="D121" t="s">
        <v>47</v>
      </c>
      <c r="E121">
        <v>27</v>
      </c>
      <c r="F121" s="3">
        <v>1572</v>
      </c>
      <c r="G121" s="4">
        <v>10</v>
      </c>
      <c r="H121">
        <v>3</v>
      </c>
      <c r="I121">
        <v>4</v>
      </c>
      <c r="J121" t="s">
        <v>26</v>
      </c>
      <c r="K121">
        <v>4</v>
      </c>
      <c r="L121" t="s">
        <v>21</v>
      </c>
      <c r="M121" t="s">
        <v>21</v>
      </c>
      <c r="N121" s="29">
        <v>21.7</v>
      </c>
      <c r="O121" t="s">
        <v>59</v>
      </c>
    </row>
    <row r="122" spans="1:15" ht="14.25">
      <c r="A122" t="s">
        <v>156</v>
      </c>
      <c r="B122" s="2">
        <v>46242</v>
      </c>
      <c r="C122" t="s">
        <v>24</v>
      </c>
      <c r="D122" t="s">
        <v>25</v>
      </c>
      <c r="E122">
        <v>51</v>
      </c>
      <c r="F122" s="3">
        <v>250</v>
      </c>
      <c r="G122" s="4">
        <v>15</v>
      </c>
      <c r="H122">
        <v>4</v>
      </c>
      <c r="I122">
        <v>4</v>
      </c>
      <c r="J122" t="s">
        <v>33</v>
      </c>
      <c r="K122">
        <v>4</v>
      </c>
      <c r="L122" t="s">
        <v>21</v>
      </c>
      <c r="M122" t="s">
        <v>21</v>
      </c>
      <c r="N122" s="29">
        <v>4.5999999999999996</v>
      </c>
      <c r="O122" t="s">
        <v>59</v>
      </c>
    </row>
    <row r="123" spans="1:15" ht="14.25">
      <c r="A123" t="s">
        <v>157</v>
      </c>
      <c r="B123" s="2">
        <v>46245</v>
      </c>
      <c r="C123" t="s">
        <v>24</v>
      </c>
      <c r="D123" t="s">
        <v>38</v>
      </c>
      <c r="E123">
        <v>22</v>
      </c>
      <c r="F123" s="3">
        <v>250</v>
      </c>
      <c r="G123" s="4">
        <v>15</v>
      </c>
      <c r="H123">
        <v>2</v>
      </c>
      <c r="I123">
        <v>2</v>
      </c>
      <c r="J123" t="s">
        <v>30</v>
      </c>
      <c r="K123">
        <v>5</v>
      </c>
      <c r="L123" t="s">
        <v>21</v>
      </c>
      <c r="M123" t="s">
        <v>21</v>
      </c>
      <c r="N123" s="29">
        <v>23</v>
      </c>
      <c r="O123" t="s">
        <v>27</v>
      </c>
    </row>
    <row r="124" spans="1:15" ht="14.25">
      <c r="A124" t="s">
        <v>158</v>
      </c>
      <c r="B124" s="2">
        <v>46270</v>
      </c>
      <c r="C124" t="s">
        <v>24</v>
      </c>
      <c r="D124" t="s">
        <v>38</v>
      </c>
      <c r="E124">
        <v>41</v>
      </c>
      <c r="F124" s="3">
        <v>2371</v>
      </c>
      <c r="G124" s="4">
        <v>20</v>
      </c>
      <c r="H124">
        <v>3</v>
      </c>
      <c r="I124">
        <v>4</v>
      </c>
      <c r="J124" t="s">
        <v>39</v>
      </c>
      <c r="K124">
        <v>3</v>
      </c>
      <c r="L124" t="s">
        <v>21</v>
      </c>
      <c r="M124" t="s">
        <v>21</v>
      </c>
      <c r="N124" s="29">
        <v>4.7</v>
      </c>
      <c r="O124" t="s">
        <v>22</v>
      </c>
    </row>
    <row r="125" spans="1:15" ht="14.25">
      <c r="A125" t="s">
        <v>159</v>
      </c>
      <c r="B125" s="2">
        <v>46257</v>
      </c>
      <c r="C125" t="s">
        <v>24</v>
      </c>
      <c r="D125" t="s">
        <v>47</v>
      </c>
      <c r="E125">
        <v>23</v>
      </c>
      <c r="F125" s="3">
        <v>2630</v>
      </c>
      <c r="G125" s="4">
        <v>25</v>
      </c>
      <c r="H125">
        <v>3</v>
      </c>
      <c r="I125">
        <v>4</v>
      </c>
      <c r="J125" t="s">
        <v>20</v>
      </c>
      <c r="K125">
        <v>3</v>
      </c>
      <c r="L125" t="s">
        <v>21</v>
      </c>
      <c r="M125" t="s">
        <v>21</v>
      </c>
      <c r="N125" s="29">
        <v>15.4</v>
      </c>
      <c r="O125" t="s">
        <v>27</v>
      </c>
    </row>
    <row r="126" spans="1:15" ht="14.25">
      <c r="A126" t="s">
        <v>160</v>
      </c>
      <c r="B126" s="2">
        <v>46245</v>
      </c>
      <c r="C126" t="s">
        <v>24</v>
      </c>
      <c r="D126" t="s">
        <v>38</v>
      </c>
      <c r="E126">
        <v>53</v>
      </c>
      <c r="F126" s="3">
        <v>2164</v>
      </c>
      <c r="G126" s="4">
        <v>25</v>
      </c>
      <c r="H126">
        <v>4</v>
      </c>
      <c r="I126">
        <v>4</v>
      </c>
      <c r="J126" t="s">
        <v>30</v>
      </c>
      <c r="K126">
        <v>5</v>
      </c>
      <c r="L126" t="s">
        <v>21</v>
      </c>
      <c r="M126" t="s">
        <v>21</v>
      </c>
      <c r="N126" s="29">
        <v>6.3</v>
      </c>
      <c r="O126" t="s">
        <v>22</v>
      </c>
    </row>
    <row r="127" spans="1:15" ht="14.25">
      <c r="A127" t="s">
        <v>161</v>
      </c>
      <c r="B127" s="2">
        <v>46272</v>
      </c>
      <c r="C127" t="s">
        <v>24</v>
      </c>
      <c r="D127" t="s">
        <v>29</v>
      </c>
      <c r="E127">
        <v>32</v>
      </c>
      <c r="F127" s="3">
        <v>585</v>
      </c>
      <c r="G127" s="4">
        <v>10</v>
      </c>
      <c r="H127">
        <v>2</v>
      </c>
      <c r="I127">
        <v>3</v>
      </c>
      <c r="J127" t="s">
        <v>33</v>
      </c>
      <c r="K127">
        <v>4</v>
      </c>
      <c r="L127" t="s">
        <v>21</v>
      </c>
      <c r="M127" t="s">
        <v>21</v>
      </c>
      <c r="N127" s="29">
        <v>8.1</v>
      </c>
      <c r="O127" t="s">
        <v>27</v>
      </c>
    </row>
    <row r="128" spans="1:15" ht="14.25">
      <c r="A128" t="s">
        <v>162</v>
      </c>
      <c r="B128" s="2">
        <v>46251</v>
      </c>
      <c r="C128" t="s">
        <v>55</v>
      </c>
      <c r="D128" t="s">
        <v>36</v>
      </c>
      <c r="E128">
        <v>28</v>
      </c>
      <c r="F128" s="3">
        <v>2575</v>
      </c>
      <c r="G128" s="4">
        <v>25</v>
      </c>
      <c r="H128">
        <v>3</v>
      </c>
      <c r="I128">
        <v>4</v>
      </c>
      <c r="J128" t="s">
        <v>20</v>
      </c>
      <c r="K128">
        <v>3</v>
      </c>
      <c r="L128" t="s">
        <v>21</v>
      </c>
      <c r="M128" t="s">
        <v>21</v>
      </c>
      <c r="N128" s="29">
        <v>20.6</v>
      </c>
      <c r="O128" t="s">
        <v>59</v>
      </c>
    </row>
    <row r="129" spans="1:15" ht="14.25">
      <c r="A129" t="s">
        <v>163</v>
      </c>
      <c r="B129" s="2">
        <v>46245</v>
      </c>
      <c r="C129" t="s">
        <v>24</v>
      </c>
      <c r="D129" t="s">
        <v>38</v>
      </c>
      <c r="E129">
        <v>54</v>
      </c>
      <c r="F129" s="3">
        <v>687</v>
      </c>
      <c r="G129" s="4">
        <v>15</v>
      </c>
      <c r="H129">
        <v>4</v>
      </c>
      <c r="I129">
        <v>4</v>
      </c>
      <c r="J129" t="s">
        <v>26</v>
      </c>
      <c r="K129">
        <v>4</v>
      </c>
      <c r="L129" t="s">
        <v>21</v>
      </c>
      <c r="M129" t="s">
        <v>21</v>
      </c>
      <c r="N129" s="29">
        <v>9.1999999999999993</v>
      </c>
      <c r="O129" t="s">
        <v>27</v>
      </c>
    </row>
    <row r="130" spans="1:15" ht="14.25">
      <c r="A130" t="s">
        <v>164</v>
      </c>
      <c r="B130" s="2">
        <v>46267</v>
      </c>
      <c r="C130" t="s">
        <v>41</v>
      </c>
      <c r="D130" t="s">
        <v>25</v>
      </c>
      <c r="E130">
        <v>48</v>
      </c>
      <c r="F130" s="3">
        <v>3457</v>
      </c>
      <c r="G130" s="4">
        <v>15</v>
      </c>
      <c r="H130">
        <v>3</v>
      </c>
      <c r="I130">
        <v>5</v>
      </c>
      <c r="J130" t="s">
        <v>30</v>
      </c>
      <c r="K130">
        <v>3</v>
      </c>
      <c r="L130" t="s">
        <v>21</v>
      </c>
      <c r="M130" t="s">
        <v>21</v>
      </c>
      <c r="N130" s="29">
        <v>10.5</v>
      </c>
      <c r="O130" t="s">
        <v>27</v>
      </c>
    </row>
    <row r="131" spans="1:15" ht="14.25">
      <c r="A131" t="s">
        <v>165</v>
      </c>
      <c r="B131" s="2">
        <v>46271</v>
      </c>
      <c r="C131" t="s">
        <v>55</v>
      </c>
      <c r="D131" t="s">
        <v>19</v>
      </c>
      <c r="E131">
        <v>38</v>
      </c>
      <c r="F131" s="3">
        <v>1415</v>
      </c>
      <c r="G131" s="4">
        <v>15</v>
      </c>
      <c r="H131">
        <v>2</v>
      </c>
      <c r="I131">
        <v>5</v>
      </c>
      <c r="J131" t="s">
        <v>30</v>
      </c>
      <c r="K131">
        <v>3</v>
      </c>
      <c r="L131" t="s">
        <v>21</v>
      </c>
      <c r="M131" t="s">
        <v>21</v>
      </c>
      <c r="N131" s="29">
        <v>5.2</v>
      </c>
      <c r="O131" t="s">
        <v>59</v>
      </c>
    </row>
    <row r="132" spans="1:15" ht="14.25">
      <c r="A132" t="s">
        <v>166</v>
      </c>
      <c r="B132" s="2">
        <v>46272</v>
      </c>
      <c r="C132" t="s">
        <v>35</v>
      </c>
      <c r="D132" t="s">
        <v>36</v>
      </c>
      <c r="E132">
        <v>28</v>
      </c>
      <c r="F132" s="3">
        <v>1078</v>
      </c>
      <c r="G132" s="4">
        <v>15</v>
      </c>
      <c r="H132">
        <v>3</v>
      </c>
      <c r="I132">
        <v>3</v>
      </c>
      <c r="J132" t="s">
        <v>33</v>
      </c>
      <c r="K132">
        <v>4</v>
      </c>
      <c r="L132" t="s">
        <v>21</v>
      </c>
      <c r="M132" t="s">
        <v>21</v>
      </c>
      <c r="N132" s="29">
        <v>13.9</v>
      </c>
      <c r="O132" t="s">
        <v>59</v>
      </c>
    </row>
    <row r="133" spans="1:15" ht="14.25">
      <c r="A133" t="s">
        <v>167</v>
      </c>
      <c r="B133" s="2">
        <v>46237</v>
      </c>
      <c r="C133" t="s">
        <v>35</v>
      </c>
      <c r="D133" t="s">
        <v>19</v>
      </c>
      <c r="E133">
        <v>21</v>
      </c>
      <c r="F133" s="3">
        <v>807</v>
      </c>
      <c r="G133" s="4">
        <v>25</v>
      </c>
      <c r="H133">
        <v>2</v>
      </c>
      <c r="I133">
        <v>3</v>
      </c>
      <c r="J133" t="s">
        <v>30</v>
      </c>
      <c r="K133">
        <v>4</v>
      </c>
      <c r="L133" t="s">
        <v>21</v>
      </c>
      <c r="M133" t="s">
        <v>21</v>
      </c>
      <c r="N133" s="29">
        <v>9.1</v>
      </c>
      <c r="O133" t="s">
        <v>22</v>
      </c>
    </row>
    <row r="134" spans="1:15" ht="14.25">
      <c r="A134" t="s">
        <v>168</v>
      </c>
      <c r="B134" s="2">
        <v>46242</v>
      </c>
      <c r="C134" t="s">
        <v>41</v>
      </c>
      <c r="D134" t="s">
        <v>19</v>
      </c>
      <c r="E134">
        <v>54</v>
      </c>
      <c r="F134" s="3">
        <v>4187</v>
      </c>
      <c r="G134" s="4">
        <v>20</v>
      </c>
      <c r="H134">
        <v>3</v>
      </c>
      <c r="I134">
        <v>3</v>
      </c>
      <c r="J134" t="s">
        <v>20</v>
      </c>
      <c r="K134">
        <v>5</v>
      </c>
      <c r="L134" t="s">
        <v>21</v>
      </c>
      <c r="M134" t="s">
        <v>21</v>
      </c>
      <c r="N134" s="29">
        <v>11.1</v>
      </c>
      <c r="O134" t="s">
        <v>59</v>
      </c>
    </row>
    <row r="135" spans="1:15" ht="14.25">
      <c r="A135" t="s">
        <v>169</v>
      </c>
      <c r="B135" s="2">
        <v>46268</v>
      </c>
      <c r="C135" t="s">
        <v>24</v>
      </c>
      <c r="D135" t="s">
        <v>19</v>
      </c>
      <c r="E135">
        <v>43</v>
      </c>
      <c r="F135" s="3">
        <v>250</v>
      </c>
      <c r="G135" s="4">
        <v>20</v>
      </c>
      <c r="H135">
        <v>3</v>
      </c>
      <c r="I135">
        <v>4</v>
      </c>
      <c r="J135" t="s">
        <v>39</v>
      </c>
      <c r="K135">
        <v>4</v>
      </c>
      <c r="L135" t="s">
        <v>21</v>
      </c>
      <c r="M135" t="s">
        <v>56</v>
      </c>
      <c r="N135" s="29">
        <v>21.5</v>
      </c>
      <c r="O135" t="s">
        <v>22</v>
      </c>
    </row>
    <row r="136" spans="1:15" ht="14.25">
      <c r="A136" t="s">
        <v>170</v>
      </c>
      <c r="B136" s="2">
        <v>46269</v>
      </c>
      <c r="C136" t="s">
        <v>41</v>
      </c>
      <c r="D136" t="s">
        <v>36</v>
      </c>
      <c r="E136">
        <v>50</v>
      </c>
      <c r="F136" s="3">
        <v>5124</v>
      </c>
      <c r="G136" s="4">
        <v>5</v>
      </c>
      <c r="H136">
        <v>3</v>
      </c>
      <c r="I136">
        <v>3</v>
      </c>
      <c r="J136" t="s">
        <v>20</v>
      </c>
      <c r="K136">
        <v>5</v>
      </c>
      <c r="L136" t="s">
        <v>21</v>
      </c>
      <c r="M136" t="s">
        <v>21</v>
      </c>
      <c r="N136" s="29">
        <v>26.2</v>
      </c>
      <c r="O136" t="s">
        <v>27</v>
      </c>
    </row>
    <row r="137" spans="1:15" ht="14.25">
      <c r="A137" t="s">
        <v>171</v>
      </c>
      <c r="B137" s="2">
        <v>46265</v>
      </c>
      <c r="C137" t="s">
        <v>41</v>
      </c>
      <c r="D137" t="s">
        <v>32</v>
      </c>
      <c r="E137">
        <v>54</v>
      </c>
      <c r="F137" s="3">
        <v>1920</v>
      </c>
      <c r="G137" s="4">
        <v>10</v>
      </c>
      <c r="H137">
        <v>3</v>
      </c>
      <c r="I137">
        <v>4</v>
      </c>
      <c r="J137" t="s">
        <v>20</v>
      </c>
      <c r="K137">
        <v>4</v>
      </c>
      <c r="L137" t="s">
        <v>21</v>
      </c>
      <c r="M137" t="s">
        <v>21</v>
      </c>
      <c r="N137" s="29">
        <v>19.399999999999999</v>
      </c>
      <c r="O137" t="s">
        <v>22</v>
      </c>
    </row>
    <row r="138" spans="1:15" ht="14.25">
      <c r="A138" t="s">
        <v>172</v>
      </c>
      <c r="B138" s="2">
        <v>46237</v>
      </c>
      <c r="C138" t="s">
        <v>35</v>
      </c>
      <c r="D138" t="s">
        <v>32</v>
      </c>
      <c r="E138">
        <v>55</v>
      </c>
      <c r="F138" s="3">
        <v>1512</v>
      </c>
      <c r="G138" s="4">
        <v>20</v>
      </c>
      <c r="H138">
        <v>2</v>
      </c>
      <c r="I138">
        <v>2</v>
      </c>
      <c r="J138" t="s">
        <v>33</v>
      </c>
      <c r="K138">
        <v>5</v>
      </c>
      <c r="L138" t="s">
        <v>21</v>
      </c>
      <c r="M138" t="s">
        <v>21</v>
      </c>
      <c r="N138" s="29">
        <v>20.6</v>
      </c>
      <c r="O138" t="s">
        <v>27</v>
      </c>
    </row>
    <row r="139" spans="1:15" ht="14.25">
      <c r="A139" t="s">
        <v>173</v>
      </c>
      <c r="B139" s="2">
        <v>46280</v>
      </c>
      <c r="C139" t="s">
        <v>55</v>
      </c>
      <c r="D139" t="s">
        <v>32</v>
      </c>
      <c r="E139">
        <v>25</v>
      </c>
      <c r="F139" s="3">
        <v>1635</v>
      </c>
      <c r="G139" s="4">
        <v>15</v>
      </c>
      <c r="H139">
        <v>2</v>
      </c>
      <c r="I139">
        <v>3</v>
      </c>
      <c r="J139" t="s">
        <v>26</v>
      </c>
      <c r="K139">
        <v>4</v>
      </c>
      <c r="L139" t="s">
        <v>21</v>
      </c>
      <c r="M139" t="s">
        <v>21</v>
      </c>
      <c r="N139" s="29">
        <v>12.4</v>
      </c>
      <c r="O139" t="s">
        <v>22</v>
      </c>
    </row>
    <row r="140" spans="1:15" ht="14.25">
      <c r="A140" t="s">
        <v>174</v>
      </c>
      <c r="B140" s="2">
        <v>46278</v>
      </c>
      <c r="C140" t="s">
        <v>24</v>
      </c>
      <c r="D140" t="s">
        <v>47</v>
      </c>
      <c r="E140">
        <v>31</v>
      </c>
      <c r="F140" s="3">
        <v>2704</v>
      </c>
      <c r="G140" s="4">
        <v>20</v>
      </c>
      <c r="H140">
        <v>3</v>
      </c>
      <c r="I140">
        <v>3</v>
      </c>
      <c r="J140" t="s">
        <v>30</v>
      </c>
      <c r="K140">
        <v>4</v>
      </c>
      <c r="L140" t="s">
        <v>21</v>
      </c>
      <c r="M140" t="s">
        <v>21</v>
      </c>
      <c r="N140" s="29">
        <v>28</v>
      </c>
      <c r="O140" t="s">
        <v>27</v>
      </c>
    </row>
    <row r="141" spans="1:15" ht="14.25">
      <c r="A141" t="s">
        <v>175</v>
      </c>
      <c r="B141" s="2">
        <v>46257</v>
      </c>
      <c r="C141" t="s">
        <v>35</v>
      </c>
      <c r="D141" t="s">
        <v>47</v>
      </c>
      <c r="E141">
        <v>48</v>
      </c>
      <c r="F141" s="3">
        <v>993</v>
      </c>
      <c r="G141" s="4">
        <v>20</v>
      </c>
      <c r="H141">
        <v>2</v>
      </c>
      <c r="I141">
        <v>2</v>
      </c>
      <c r="J141" t="s">
        <v>39</v>
      </c>
      <c r="K141">
        <v>5</v>
      </c>
      <c r="L141" t="s">
        <v>21</v>
      </c>
      <c r="M141" t="s">
        <v>21</v>
      </c>
      <c r="N141" s="29">
        <v>7.5</v>
      </c>
      <c r="O141" t="s">
        <v>27</v>
      </c>
    </row>
    <row r="142" spans="1:15" ht="14.25">
      <c r="A142" t="s">
        <v>176</v>
      </c>
      <c r="B142" s="2">
        <v>46280</v>
      </c>
      <c r="C142" t="s">
        <v>55</v>
      </c>
      <c r="D142" t="s">
        <v>38</v>
      </c>
      <c r="E142">
        <v>35</v>
      </c>
      <c r="F142" s="3">
        <v>1822</v>
      </c>
      <c r="G142" s="4">
        <v>10</v>
      </c>
      <c r="H142">
        <v>1</v>
      </c>
      <c r="I142">
        <v>1</v>
      </c>
      <c r="J142" t="s">
        <v>30</v>
      </c>
      <c r="K142">
        <v>5</v>
      </c>
      <c r="L142" t="s">
        <v>21</v>
      </c>
      <c r="M142" t="s">
        <v>21</v>
      </c>
      <c r="N142" s="29">
        <v>16.7</v>
      </c>
      <c r="O142" t="s">
        <v>27</v>
      </c>
    </row>
    <row r="143" spans="1:15" ht="14.25">
      <c r="A143" t="s">
        <v>177</v>
      </c>
      <c r="B143" s="2">
        <v>46249</v>
      </c>
      <c r="C143" t="s">
        <v>18</v>
      </c>
      <c r="D143" t="s">
        <v>29</v>
      </c>
      <c r="E143">
        <v>46</v>
      </c>
      <c r="F143" s="3">
        <v>1890</v>
      </c>
      <c r="G143" s="4">
        <v>5</v>
      </c>
      <c r="H143">
        <v>3</v>
      </c>
      <c r="I143">
        <v>5</v>
      </c>
      <c r="J143" t="s">
        <v>20</v>
      </c>
      <c r="K143">
        <v>3</v>
      </c>
      <c r="L143" t="s">
        <v>21</v>
      </c>
      <c r="M143" t="s">
        <v>21</v>
      </c>
      <c r="N143" s="29">
        <v>23.4</v>
      </c>
      <c r="O143" t="s">
        <v>27</v>
      </c>
    </row>
    <row r="144" spans="1:15" ht="14.25">
      <c r="A144" t="s">
        <v>178</v>
      </c>
      <c r="B144" s="2">
        <v>46265</v>
      </c>
      <c r="C144" t="s">
        <v>24</v>
      </c>
      <c r="D144" t="s">
        <v>19</v>
      </c>
      <c r="E144">
        <v>24</v>
      </c>
      <c r="F144" s="3">
        <v>560</v>
      </c>
      <c r="G144" s="4">
        <v>15</v>
      </c>
      <c r="H144">
        <v>3</v>
      </c>
      <c r="I144">
        <v>4</v>
      </c>
      <c r="J144" t="s">
        <v>39</v>
      </c>
      <c r="K144">
        <v>3</v>
      </c>
      <c r="L144" t="s">
        <v>21</v>
      </c>
      <c r="M144" t="s">
        <v>21</v>
      </c>
      <c r="N144" s="29">
        <v>20.5</v>
      </c>
      <c r="O144" t="s">
        <v>27</v>
      </c>
    </row>
    <row r="145" spans="1:15" ht="14.25">
      <c r="A145" t="s">
        <v>179</v>
      </c>
      <c r="B145" s="2">
        <v>46260</v>
      </c>
      <c r="C145" t="s">
        <v>24</v>
      </c>
      <c r="D145" t="s">
        <v>38</v>
      </c>
      <c r="E145">
        <v>36</v>
      </c>
      <c r="F145" s="3">
        <v>1239</v>
      </c>
      <c r="G145" s="4">
        <v>0</v>
      </c>
      <c r="H145">
        <v>4</v>
      </c>
      <c r="I145">
        <v>3</v>
      </c>
      <c r="J145" t="s">
        <v>26</v>
      </c>
      <c r="K145">
        <v>5</v>
      </c>
      <c r="L145" t="s">
        <v>21</v>
      </c>
      <c r="M145" t="s">
        <v>21</v>
      </c>
      <c r="N145" s="29">
        <v>7.7</v>
      </c>
      <c r="O145" t="s">
        <v>27</v>
      </c>
    </row>
    <row r="146" spans="1:15" ht="14.25">
      <c r="A146" t="s">
        <v>180</v>
      </c>
      <c r="B146" s="2">
        <v>46267</v>
      </c>
      <c r="C146" t="s">
        <v>41</v>
      </c>
      <c r="D146" t="s">
        <v>36</v>
      </c>
      <c r="E146">
        <v>36</v>
      </c>
      <c r="F146" s="3">
        <v>4159</v>
      </c>
      <c r="G146" s="4">
        <v>0</v>
      </c>
      <c r="H146">
        <v>2</v>
      </c>
      <c r="I146">
        <v>2</v>
      </c>
      <c r="J146" t="s">
        <v>33</v>
      </c>
      <c r="K146">
        <v>4</v>
      </c>
      <c r="L146" t="s">
        <v>21</v>
      </c>
      <c r="M146" t="s">
        <v>21</v>
      </c>
      <c r="N146" s="29">
        <v>9.4</v>
      </c>
      <c r="O146" t="s">
        <v>27</v>
      </c>
    </row>
    <row r="147" spans="1:15" ht="14.25">
      <c r="A147" t="s">
        <v>181</v>
      </c>
      <c r="B147" s="2">
        <v>46274</v>
      </c>
      <c r="C147" t="s">
        <v>41</v>
      </c>
      <c r="D147" t="s">
        <v>29</v>
      </c>
      <c r="E147">
        <v>30</v>
      </c>
      <c r="F147" s="3">
        <v>2988</v>
      </c>
      <c r="G147" s="4">
        <v>25</v>
      </c>
      <c r="H147">
        <v>3</v>
      </c>
      <c r="I147">
        <v>2</v>
      </c>
      <c r="J147" t="s">
        <v>33</v>
      </c>
      <c r="K147">
        <v>5</v>
      </c>
      <c r="L147" t="s">
        <v>21</v>
      </c>
      <c r="M147" t="s">
        <v>21</v>
      </c>
      <c r="N147" s="29">
        <v>18.7</v>
      </c>
      <c r="O147" t="s">
        <v>22</v>
      </c>
    </row>
    <row r="148" spans="1:15" ht="14.25">
      <c r="A148" t="s">
        <v>182</v>
      </c>
      <c r="B148" s="2">
        <v>46250</v>
      </c>
      <c r="C148" t="s">
        <v>41</v>
      </c>
      <c r="D148" t="s">
        <v>38</v>
      </c>
      <c r="E148">
        <v>45</v>
      </c>
      <c r="F148" s="3">
        <v>1597</v>
      </c>
      <c r="G148" s="4">
        <v>20</v>
      </c>
      <c r="H148">
        <v>3</v>
      </c>
      <c r="I148">
        <v>3</v>
      </c>
      <c r="J148" t="s">
        <v>39</v>
      </c>
      <c r="K148">
        <v>5</v>
      </c>
      <c r="L148" t="s">
        <v>21</v>
      </c>
      <c r="M148" t="s">
        <v>21</v>
      </c>
      <c r="N148" s="29">
        <v>3.8</v>
      </c>
      <c r="O148" t="s">
        <v>27</v>
      </c>
    </row>
    <row r="149" spans="1:15" ht="14.25">
      <c r="A149" t="s">
        <v>183</v>
      </c>
      <c r="B149" s="2">
        <v>46280</v>
      </c>
      <c r="C149" t="s">
        <v>41</v>
      </c>
      <c r="D149" t="s">
        <v>38</v>
      </c>
      <c r="E149">
        <v>35</v>
      </c>
      <c r="F149" s="3">
        <v>3575</v>
      </c>
      <c r="G149" s="4">
        <v>25</v>
      </c>
      <c r="H149">
        <v>4</v>
      </c>
      <c r="I149">
        <v>4</v>
      </c>
      <c r="J149" t="s">
        <v>20</v>
      </c>
      <c r="K149">
        <v>4</v>
      </c>
      <c r="L149" t="s">
        <v>21</v>
      </c>
      <c r="M149" t="s">
        <v>21</v>
      </c>
      <c r="N149" s="29">
        <v>1.8</v>
      </c>
      <c r="O149" t="s">
        <v>27</v>
      </c>
    </row>
    <row r="150" spans="1:15" ht="14.25">
      <c r="A150" t="s">
        <v>184</v>
      </c>
      <c r="B150" s="2">
        <v>46265</v>
      </c>
      <c r="C150" t="s">
        <v>35</v>
      </c>
      <c r="D150" t="s">
        <v>32</v>
      </c>
      <c r="E150">
        <v>25</v>
      </c>
      <c r="F150" s="3">
        <v>815</v>
      </c>
      <c r="G150" s="4">
        <v>25</v>
      </c>
      <c r="H150">
        <v>2</v>
      </c>
      <c r="I150">
        <v>2</v>
      </c>
      <c r="J150" t="s">
        <v>20</v>
      </c>
      <c r="K150">
        <v>5</v>
      </c>
      <c r="L150" t="s">
        <v>21</v>
      </c>
      <c r="M150" t="s">
        <v>21</v>
      </c>
      <c r="N150" s="29">
        <v>11.2</v>
      </c>
      <c r="O150" t="s">
        <v>27</v>
      </c>
    </row>
    <row r="151" spans="1:15" ht="14.25">
      <c r="A151" t="s">
        <v>185</v>
      </c>
      <c r="B151" s="2">
        <v>46247</v>
      </c>
      <c r="C151" t="s">
        <v>55</v>
      </c>
      <c r="D151" t="s">
        <v>38</v>
      </c>
      <c r="E151">
        <v>31</v>
      </c>
      <c r="F151" s="3">
        <v>1467</v>
      </c>
      <c r="G151" s="4">
        <v>20</v>
      </c>
      <c r="H151">
        <v>1</v>
      </c>
      <c r="I151">
        <v>1</v>
      </c>
      <c r="J151" t="s">
        <v>20</v>
      </c>
      <c r="K151">
        <v>4</v>
      </c>
      <c r="L151" t="s">
        <v>21</v>
      </c>
      <c r="M151" t="s">
        <v>21</v>
      </c>
      <c r="N151" s="29">
        <v>15.4</v>
      </c>
      <c r="O151" t="s">
        <v>22</v>
      </c>
    </row>
    <row r="152" spans="1:15" ht="14.25">
      <c r="A152" t="s">
        <v>186</v>
      </c>
      <c r="B152" s="2">
        <v>46264</v>
      </c>
      <c r="C152" t="s">
        <v>55</v>
      </c>
      <c r="D152" t="s">
        <v>47</v>
      </c>
      <c r="E152">
        <v>27</v>
      </c>
      <c r="F152" s="3">
        <v>496</v>
      </c>
      <c r="G152" s="4">
        <v>5</v>
      </c>
      <c r="H152">
        <v>2</v>
      </c>
      <c r="I152">
        <v>2</v>
      </c>
      <c r="J152" t="s">
        <v>26</v>
      </c>
      <c r="K152">
        <v>5</v>
      </c>
      <c r="L152" t="s">
        <v>21</v>
      </c>
      <c r="M152" t="s">
        <v>21</v>
      </c>
      <c r="N152" s="29">
        <v>24.1</v>
      </c>
      <c r="O152" t="s">
        <v>27</v>
      </c>
    </row>
    <row r="153" spans="1:15" ht="14.25">
      <c r="A153" t="s">
        <v>187</v>
      </c>
      <c r="B153" s="2">
        <v>46269</v>
      </c>
      <c r="C153" t="s">
        <v>24</v>
      </c>
      <c r="D153" t="s">
        <v>47</v>
      </c>
      <c r="E153">
        <v>44</v>
      </c>
      <c r="F153" s="3">
        <v>1500</v>
      </c>
      <c r="G153" s="4">
        <v>15</v>
      </c>
      <c r="H153">
        <v>3</v>
      </c>
      <c r="I153">
        <v>2</v>
      </c>
      <c r="J153" t="s">
        <v>26</v>
      </c>
      <c r="K153">
        <v>5</v>
      </c>
      <c r="L153" t="s">
        <v>21</v>
      </c>
      <c r="M153" t="s">
        <v>56</v>
      </c>
      <c r="N153" s="29">
        <v>20.7</v>
      </c>
      <c r="O153" t="s">
        <v>27</v>
      </c>
    </row>
    <row r="154" spans="1:15" ht="14.25">
      <c r="A154" t="s">
        <v>188</v>
      </c>
      <c r="B154" s="2">
        <v>46259</v>
      </c>
      <c r="C154" t="s">
        <v>18</v>
      </c>
      <c r="D154" t="s">
        <v>19</v>
      </c>
      <c r="E154">
        <v>48</v>
      </c>
      <c r="F154" s="3">
        <v>4431</v>
      </c>
      <c r="G154" s="4">
        <v>0</v>
      </c>
      <c r="H154">
        <v>3</v>
      </c>
      <c r="I154">
        <v>3</v>
      </c>
      <c r="J154" t="s">
        <v>39</v>
      </c>
      <c r="K154">
        <v>4</v>
      </c>
      <c r="L154" t="s">
        <v>21</v>
      </c>
      <c r="M154" t="s">
        <v>21</v>
      </c>
      <c r="N154" s="29">
        <v>12.3</v>
      </c>
      <c r="O154" t="s">
        <v>59</v>
      </c>
    </row>
    <row r="155" spans="1:15" ht="14.25">
      <c r="A155" t="s">
        <v>189</v>
      </c>
      <c r="B155" s="2">
        <v>46264</v>
      </c>
      <c r="C155" t="s">
        <v>18</v>
      </c>
      <c r="D155" t="s">
        <v>32</v>
      </c>
      <c r="E155">
        <v>52</v>
      </c>
      <c r="F155" s="3">
        <v>7526</v>
      </c>
      <c r="G155" s="4">
        <v>0</v>
      </c>
      <c r="H155">
        <v>3</v>
      </c>
      <c r="I155">
        <v>3</v>
      </c>
      <c r="J155" t="s">
        <v>30</v>
      </c>
      <c r="K155">
        <v>5</v>
      </c>
      <c r="L155" t="s">
        <v>21</v>
      </c>
      <c r="M155" t="s">
        <v>56</v>
      </c>
      <c r="N155" s="29">
        <v>27.8</v>
      </c>
      <c r="O155" t="s">
        <v>27</v>
      </c>
    </row>
    <row r="156" spans="1:15" ht="14.25">
      <c r="A156" t="s">
        <v>190</v>
      </c>
      <c r="B156" s="2">
        <v>46274</v>
      </c>
      <c r="C156" t="s">
        <v>55</v>
      </c>
      <c r="D156" t="s">
        <v>25</v>
      </c>
      <c r="E156">
        <v>52</v>
      </c>
      <c r="F156" s="3">
        <v>2282</v>
      </c>
      <c r="G156" s="4">
        <v>15</v>
      </c>
      <c r="H156">
        <v>2</v>
      </c>
      <c r="I156">
        <v>2</v>
      </c>
      <c r="J156" t="s">
        <v>39</v>
      </c>
      <c r="K156">
        <v>4</v>
      </c>
      <c r="L156" t="s">
        <v>21</v>
      </c>
      <c r="M156" t="s">
        <v>21</v>
      </c>
      <c r="N156" s="29">
        <v>8.1</v>
      </c>
      <c r="O156" t="s">
        <v>27</v>
      </c>
    </row>
    <row r="157" spans="1:15" ht="14.25">
      <c r="A157" t="s">
        <v>191</v>
      </c>
      <c r="B157" s="2">
        <v>46243</v>
      </c>
      <c r="C157" t="s">
        <v>18</v>
      </c>
      <c r="D157" t="s">
        <v>36</v>
      </c>
      <c r="E157">
        <v>31</v>
      </c>
      <c r="F157" s="3">
        <v>7260</v>
      </c>
      <c r="G157" s="4">
        <v>15</v>
      </c>
      <c r="H157">
        <v>4</v>
      </c>
      <c r="I157">
        <v>4</v>
      </c>
      <c r="J157" t="s">
        <v>26</v>
      </c>
      <c r="K157">
        <v>5</v>
      </c>
      <c r="L157" t="s">
        <v>21</v>
      </c>
      <c r="M157" t="s">
        <v>21</v>
      </c>
      <c r="N157" s="29">
        <v>19.3</v>
      </c>
      <c r="O157" t="s">
        <v>27</v>
      </c>
    </row>
    <row r="158" spans="1:15" ht="14.25">
      <c r="A158" t="s">
        <v>192</v>
      </c>
      <c r="B158" s="2">
        <v>46254</v>
      </c>
      <c r="C158" t="s">
        <v>55</v>
      </c>
      <c r="D158" t="s">
        <v>29</v>
      </c>
      <c r="E158">
        <v>32</v>
      </c>
      <c r="F158" s="3">
        <v>1730</v>
      </c>
      <c r="G158" s="4">
        <v>25</v>
      </c>
      <c r="H158">
        <v>3</v>
      </c>
      <c r="I158">
        <v>3</v>
      </c>
      <c r="J158" t="s">
        <v>39</v>
      </c>
      <c r="K158">
        <v>4</v>
      </c>
      <c r="L158" t="s">
        <v>21</v>
      </c>
      <c r="M158" t="s">
        <v>21</v>
      </c>
      <c r="N158" s="29">
        <v>10</v>
      </c>
      <c r="O158" t="s">
        <v>22</v>
      </c>
    </row>
    <row r="159" spans="1:15" ht="14.25">
      <c r="A159" t="s">
        <v>193</v>
      </c>
      <c r="B159" s="2">
        <v>46261</v>
      </c>
      <c r="C159" t="s">
        <v>35</v>
      </c>
      <c r="D159" t="s">
        <v>19</v>
      </c>
      <c r="E159">
        <v>53</v>
      </c>
      <c r="F159" s="3">
        <v>1582</v>
      </c>
      <c r="G159" s="4">
        <v>5</v>
      </c>
      <c r="H159">
        <v>2</v>
      </c>
      <c r="I159">
        <v>4</v>
      </c>
      <c r="J159" t="s">
        <v>39</v>
      </c>
      <c r="K159">
        <v>4</v>
      </c>
      <c r="L159" t="s">
        <v>21</v>
      </c>
      <c r="M159" t="s">
        <v>21</v>
      </c>
      <c r="N159" s="29">
        <v>16.2</v>
      </c>
      <c r="O159" t="s">
        <v>27</v>
      </c>
    </row>
    <row r="160" spans="1:15" ht="14.25">
      <c r="A160" t="s">
        <v>194</v>
      </c>
      <c r="B160" s="2">
        <v>46261</v>
      </c>
      <c r="C160" t="s">
        <v>24</v>
      </c>
      <c r="D160" t="s">
        <v>29</v>
      </c>
      <c r="E160">
        <v>42</v>
      </c>
      <c r="F160" s="3">
        <v>1211</v>
      </c>
      <c r="G160" s="4">
        <v>5</v>
      </c>
      <c r="H160">
        <v>4</v>
      </c>
      <c r="I160">
        <v>4</v>
      </c>
      <c r="J160" t="s">
        <v>39</v>
      </c>
      <c r="K160">
        <v>5</v>
      </c>
      <c r="L160" t="s">
        <v>21</v>
      </c>
      <c r="M160" t="s">
        <v>21</v>
      </c>
      <c r="N160" s="29">
        <v>14</v>
      </c>
      <c r="O160" t="s">
        <v>27</v>
      </c>
    </row>
    <row r="161" spans="1:15" ht="14.25">
      <c r="A161" t="s">
        <v>195</v>
      </c>
      <c r="B161" s="2">
        <v>46273</v>
      </c>
      <c r="C161" t="s">
        <v>55</v>
      </c>
      <c r="D161" t="s">
        <v>47</v>
      </c>
      <c r="E161">
        <v>26</v>
      </c>
      <c r="F161" s="3">
        <v>1048</v>
      </c>
      <c r="G161" s="4">
        <v>10</v>
      </c>
      <c r="H161">
        <v>1</v>
      </c>
      <c r="I161">
        <v>1</v>
      </c>
      <c r="J161" t="s">
        <v>20</v>
      </c>
      <c r="K161">
        <v>5</v>
      </c>
      <c r="L161" t="s">
        <v>21</v>
      </c>
      <c r="M161" t="s">
        <v>56</v>
      </c>
      <c r="N161" s="29">
        <v>25.9</v>
      </c>
      <c r="O161" t="s">
        <v>27</v>
      </c>
    </row>
    <row r="162" spans="1:15" ht="14.25">
      <c r="A162" t="s">
        <v>196</v>
      </c>
      <c r="B162" s="2">
        <v>46247</v>
      </c>
      <c r="C162" t="s">
        <v>18</v>
      </c>
      <c r="D162" t="s">
        <v>38</v>
      </c>
      <c r="E162">
        <v>22</v>
      </c>
      <c r="F162" s="3">
        <v>5437</v>
      </c>
      <c r="G162" s="4">
        <v>5</v>
      </c>
      <c r="H162">
        <v>4</v>
      </c>
      <c r="I162">
        <v>4</v>
      </c>
      <c r="J162" t="s">
        <v>33</v>
      </c>
      <c r="K162">
        <v>4</v>
      </c>
      <c r="L162" t="s">
        <v>21</v>
      </c>
      <c r="M162" t="s">
        <v>21</v>
      </c>
      <c r="N162" s="29">
        <v>20.7</v>
      </c>
      <c r="O162" t="s">
        <v>59</v>
      </c>
    </row>
    <row r="163" spans="1:15" ht="14.25">
      <c r="A163" t="s">
        <v>197</v>
      </c>
      <c r="B163" s="2">
        <v>46258</v>
      </c>
      <c r="C163" t="s">
        <v>18</v>
      </c>
      <c r="D163" t="s">
        <v>32</v>
      </c>
      <c r="E163">
        <v>48</v>
      </c>
      <c r="F163" s="3">
        <v>7512</v>
      </c>
      <c r="G163" s="4">
        <v>25</v>
      </c>
      <c r="H163">
        <v>3</v>
      </c>
      <c r="I163">
        <v>5</v>
      </c>
      <c r="J163" t="s">
        <v>30</v>
      </c>
      <c r="K163">
        <v>3</v>
      </c>
      <c r="L163" t="s">
        <v>21</v>
      </c>
      <c r="M163" t="s">
        <v>21</v>
      </c>
      <c r="N163" s="29">
        <v>12</v>
      </c>
      <c r="O163" t="s">
        <v>27</v>
      </c>
    </row>
    <row r="164" spans="1:15" ht="14.25">
      <c r="A164" t="s">
        <v>198</v>
      </c>
      <c r="B164" s="2">
        <v>46236</v>
      </c>
      <c r="C164" t="s">
        <v>55</v>
      </c>
      <c r="D164" t="s">
        <v>25</v>
      </c>
      <c r="E164">
        <v>47</v>
      </c>
      <c r="F164" s="3">
        <v>926</v>
      </c>
      <c r="G164" s="4">
        <v>0</v>
      </c>
      <c r="H164">
        <v>2</v>
      </c>
      <c r="I164">
        <v>2</v>
      </c>
      <c r="J164" t="s">
        <v>33</v>
      </c>
      <c r="K164">
        <v>4</v>
      </c>
      <c r="L164" t="s">
        <v>21</v>
      </c>
      <c r="M164" t="s">
        <v>21</v>
      </c>
      <c r="N164" s="29">
        <v>21.7</v>
      </c>
      <c r="O164" t="s">
        <v>27</v>
      </c>
    </row>
    <row r="165" spans="1:15" ht="14.25">
      <c r="A165" t="s">
        <v>199</v>
      </c>
      <c r="B165" s="2">
        <v>46281</v>
      </c>
      <c r="C165" t="s">
        <v>35</v>
      </c>
      <c r="D165" t="s">
        <v>47</v>
      </c>
      <c r="E165">
        <v>55</v>
      </c>
      <c r="F165" s="3">
        <v>580</v>
      </c>
      <c r="G165" s="4">
        <v>5</v>
      </c>
      <c r="H165">
        <v>2</v>
      </c>
      <c r="I165">
        <v>2</v>
      </c>
      <c r="J165" t="s">
        <v>39</v>
      </c>
      <c r="K165">
        <v>5</v>
      </c>
      <c r="L165" t="s">
        <v>21</v>
      </c>
      <c r="M165" t="s">
        <v>21</v>
      </c>
      <c r="N165" s="29">
        <v>10.199999999999999</v>
      </c>
      <c r="O165" t="s">
        <v>27</v>
      </c>
    </row>
    <row r="166" spans="1:15" ht="14.25">
      <c r="A166" t="s">
        <v>200</v>
      </c>
      <c r="B166" s="2">
        <v>46237</v>
      </c>
      <c r="C166" t="s">
        <v>41</v>
      </c>
      <c r="D166" t="s">
        <v>25</v>
      </c>
      <c r="E166">
        <v>28</v>
      </c>
      <c r="F166" s="3">
        <v>2004</v>
      </c>
      <c r="G166" s="4">
        <v>25</v>
      </c>
      <c r="H166">
        <v>3</v>
      </c>
      <c r="I166">
        <v>3</v>
      </c>
      <c r="J166" t="s">
        <v>20</v>
      </c>
      <c r="K166">
        <v>4</v>
      </c>
      <c r="L166" t="s">
        <v>21</v>
      </c>
      <c r="M166" t="s">
        <v>21</v>
      </c>
      <c r="N166" s="29">
        <v>6</v>
      </c>
      <c r="O166" t="s">
        <v>59</v>
      </c>
    </row>
    <row r="167" spans="1:15" ht="14.25">
      <c r="A167" t="s">
        <v>201</v>
      </c>
      <c r="B167" s="2">
        <v>46265</v>
      </c>
      <c r="C167" t="s">
        <v>18</v>
      </c>
      <c r="D167" t="s">
        <v>38</v>
      </c>
      <c r="E167">
        <v>21</v>
      </c>
      <c r="F167" s="3">
        <v>4431</v>
      </c>
      <c r="G167" s="4">
        <v>25</v>
      </c>
      <c r="H167">
        <v>3</v>
      </c>
      <c r="I167">
        <v>4</v>
      </c>
      <c r="J167" t="s">
        <v>20</v>
      </c>
      <c r="K167">
        <v>4</v>
      </c>
      <c r="L167" t="s">
        <v>21</v>
      </c>
      <c r="M167" t="s">
        <v>21</v>
      </c>
      <c r="N167" s="29">
        <v>3.3</v>
      </c>
      <c r="O167" t="s">
        <v>22</v>
      </c>
    </row>
    <row r="168" spans="1:15" ht="14.25">
      <c r="A168" t="s">
        <v>202</v>
      </c>
      <c r="B168" s="2">
        <v>46246</v>
      </c>
      <c r="C168" t="s">
        <v>41</v>
      </c>
      <c r="D168" t="s">
        <v>19</v>
      </c>
      <c r="E168">
        <v>18</v>
      </c>
      <c r="F168" s="3">
        <v>1367</v>
      </c>
      <c r="G168" s="4">
        <v>20</v>
      </c>
      <c r="H168">
        <v>4</v>
      </c>
      <c r="I168">
        <v>6</v>
      </c>
      <c r="J168" t="s">
        <v>39</v>
      </c>
      <c r="K168">
        <v>3</v>
      </c>
      <c r="L168" t="s">
        <v>21</v>
      </c>
      <c r="M168" t="s">
        <v>21</v>
      </c>
      <c r="N168" s="29">
        <v>12.4</v>
      </c>
      <c r="O168" t="s">
        <v>22</v>
      </c>
    </row>
    <row r="169" spans="1:15" ht="14.25">
      <c r="A169" t="s">
        <v>203</v>
      </c>
      <c r="B169" s="2">
        <v>46254</v>
      </c>
      <c r="C169" t="s">
        <v>18</v>
      </c>
      <c r="D169" t="s">
        <v>19</v>
      </c>
      <c r="E169">
        <v>51</v>
      </c>
      <c r="F169" s="3">
        <v>5168</v>
      </c>
      <c r="G169" s="4">
        <v>20</v>
      </c>
      <c r="H169">
        <v>3</v>
      </c>
      <c r="I169">
        <v>3</v>
      </c>
      <c r="J169" t="s">
        <v>33</v>
      </c>
      <c r="K169">
        <v>4</v>
      </c>
      <c r="L169" t="s">
        <v>21</v>
      </c>
      <c r="M169" t="s">
        <v>21</v>
      </c>
      <c r="N169" s="29">
        <v>23.1</v>
      </c>
      <c r="O169" t="s">
        <v>27</v>
      </c>
    </row>
    <row r="170" spans="1:15" ht="14.25">
      <c r="A170" t="s">
        <v>204</v>
      </c>
      <c r="B170" s="2">
        <v>46271</v>
      </c>
      <c r="C170" t="s">
        <v>18</v>
      </c>
      <c r="D170" t="s">
        <v>32</v>
      </c>
      <c r="E170">
        <v>20</v>
      </c>
      <c r="F170" s="3">
        <v>5513</v>
      </c>
      <c r="G170" s="4">
        <v>0</v>
      </c>
      <c r="H170">
        <v>3</v>
      </c>
      <c r="I170">
        <v>2</v>
      </c>
      <c r="J170" t="s">
        <v>30</v>
      </c>
      <c r="K170">
        <v>5</v>
      </c>
      <c r="L170" t="s">
        <v>21</v>
      </c>
      <c r="M170" t="s">
        <v>21</v>
      </c>
      <c r="N170" s="29">
        <v>11.6</v>
      </c>
      <c r="O170" t="s">
        <v>22</v>
      </c>
    </row>
    <row r="171" spans="1:15" ht="14.25">
      <c r="A171" t="s">
        <v>205</v>
      </c>
      <c r="B171" s="2">
        <v>46255</v>
      </c>
      <c r="C171" t="s">
        <v>18</v>
      </c>
      <c r="D171" t="s">
        <v>47</v>
      </c>
      <c r="E171">
        <v>20</v>
      </c>
      <c r="F171" s="3">
        <v>4882</v>
      </c>
      <c r="G171" s="4">
        <v>25</v>
      </c>
      <c r="H171">
        <v>4</v>
      </c>
      <c r="I171">
        <v>5</v>
      </c>
      <c r="J171" t="s">
        <v>33</v>
      </c>
      <c r="K171">
        <v>4</v>
      </c>
      <c r="L171" t="s">
        <v>21</v>
      </c>
      <c r="M171" t="s">
        <v>21</v>
      </c>
      <c r="N171" s="29">
        <v>14.1</v>
      </c>
      <c r="O171" t="s">
        <v>22</v>
      </c>
    </row>
    <row r="172" spans="1:15" ht="14.25">
      <c r="A172" t="s">
        <v>206</v>
      </c>
      <c r="B172" s="2">
        <v>46259</v>
      </c>
      <c r="C172" t="s">
        <v>18</v>
      </c>
      <c r="D172" t="s">
        <v>36</v>
      </c>
      <c r="E172">
        <v>55</v>
      </c>
      <c r="F172" s="3">
        <v>9536</v>
      </c>
      <c r="G172" s="4">
        <v>5</v>
      </c>
      <c r="H172">
        <v>3</v>
      </c>
      <c r="I172">
        <v>4</v>
      </c>
      <c r="J172" t="s">
        <v>30</v>
      </c>
      <c r="K172">
        <v>3</v>
      </c>
      <c r="L172" t="s">
        <v>21</v>
      </c>
      <c r="M172" t="s">
        <v>21</v>
      </c>
      <c r="N172" s="29">
        <v>26.1</v>
      </c>
      <c r="O172" t="s">
        <v>22</v>
      </c>
    </row>
    <row r="173" spans="1:15" ht="14.25">
      <c r="A173" t="s">
        <v>207</v>
      </c>
      <c r="B173" s="2">
        <v>46236</v>
      </c>
      <c r="C173" t="s">
        <v>24</v>
      </c>
      <c r="D173" t="s">
        <v>38</v>
      </c>
      <c r="E173">
        <v>23</v>
      </c>
      <c r="F173" s="3">
        <v>250</v>
      </c>
      <c r="G173" s="4">
        <v>0</v>
      </c>
      <c r="H173">
        <v>2</v>
      </c>
      <c r="I173">
        <v>2</v>
      </c>
      <c r="J173" t="s">
        <v>30</v>
      </c>
      <c r="K173">
        <v>4</v>
      </c>
      <c r="L173" t="s">
        <v>21</v>
      </c>
      <c r="M173" t="s">
        <v>21</v>
      </c>
      <c r="N173" s="29">
        <v>13.1</v>
      </c>
      <c r="O173" t="s">
        <v>59</v>
      </c>
    </row>
    <row r="174" spans="1:15" ht="14.25">
      <c r="A174" t="s">
        <v>208</v>
      </c>
      <c r="B174" s="2">
        <v>46250</v>
      </c>
      <c r="C174" t="s">
        <v>35</v>
      </c>
      <c r="D174" t="s">
        <v>38</v>
      </c>
      <c r="E174">
        <v>46</v>
      </c>
      <c r="F174" s="3">
        <v>895</v>
      </c>
      <c r="G174" s="4">
        <v>15</v>
      </c>
      <c r="H174">
        <v>2</v>
      </c>
      <c r="I174">
        <v>2</v>
      </c>
      <c r="J174" t="s">
        <v>30</v>
      </c>
      <c r="K174">
        <v>4</v>
      </c>
      <c r="L174" t="s">
        <v>21</v>
      </c>
      <c r="M174" t="s">
        <v>21</v>
      </c>
      <c r="N174" s="29">
        <v>10.9</v>
      </c>
      <c r="O174" t="s">
        <v>22</v>
      </c>
    </row>
    <row r="175" spans="1:15" ht="14.25">
      <c r="A175" t="s">
        <v>209</v>
      </c>
      <c r="B175" s="2">
        <v>46243</v>
      </c>
      <c r="C175" t="s">
        <v>18</v>
      </c>
      <c r="D175" t="s">
        <v>19</v>
      </c>
      <c r="E175">
        <v>35</v>
      </c>
      <c r="F175" s="3">
        <v>6432</v>
      </c>
      <c r="G175" s="4">
        <v>25</v>
      </c>
      <c r="H175">
        <v>3</v>
      </c>
      <c r="I175">
        <v>2</v>
      </c>
      <c r="J175" t="s">
        <v>26</v>
      </c>
      <c r="K175">
        <v>4</v>
      </c>
      <c r="L175" t="s">
        <v>21</v>
      </c>
      <c r="M175" t="s">
        <v>21</v>
      </c>
      <c r="N175" s="29">
        <v>21.1</v>
      </c>
      <c r="O175" t="s">
        <v>22</v>
      </c>
    </row>
    <row r="176" spans="1:15" ht="14.25">
      <c r="A176" t="s">
        <v>210</v>
      </c>
      <c r="B176" s="2">
        <v>46235</v>
      </c>
      <c r="C176" t="s">
        <v>18</v>
      </c>
      <c r="D176" t="s">
        <v>36</v>
      </c>
      <c r="E176">
        <v>45</v>
      </c>
      <c r="F176" s="3">
        <v>7450</v>
      </c>
      <c r="G176" s="4">
        <v>15</v>
      </c>
      <c r="H176">
        <v>4</v>
      </c>
      <c r="I176">
        <v>3</v>
      </c>
      <c r="J176" t="s">
        <v>39</v>
      </c>
      <c r="K176">
        <v>4</v>
      </c>
      <c r="L176" t="s">
        <v>21</v>
      </c>
      <c r="M176" t="s">
        <v>21</v>
      </c>
      <c r="N176" s="29">
        <v>16.2</v>
      </c>
      <c r="O176" t="s">
        <v>22</v>
      </c>
    </row>
    <row r="177" spans="1:15" ht="14.25">
      <c r="A177" t="s">
        <v>211</v>
      </c>
      <c r="B177" s="2">
        <v>46262</v>
      </c>
      <c r="C177" t="s">
        <v>35</v>
      </c>
      <c r="D177" t="s">
        <v>25</v>
      </c>
      <c r="E177">
        <v>42</v>
      </c>
      <c r="F177" s="3">
        <v>1002</v>
      </c>
      <c r="G177" s="4">
        <v>20</v>
      </c>
      <c r="H177">
        <v>2</v>
      </c>
      <c r="I177">
        <v>5</v>
      </c>
      <c r="J177" t="s">
        <v>33</v>
      </c>
      <c r="K177">
        <v>2</v>
      </c>
      <c r="L177" t="s">
        <v>21</v>
      </c>
      <c r="M177" t="s">
        <v>21</v>
      </c>
      <c r="N177" s="29">
        <v>16.7</v>
      </c>
      <c r="O177" t="s">
        <v>27</v>
      </c>
    </row>
    <row r="178" spans="1:15" ht="14.25">
      <c r="A178" t="s">
        <v>212</v>
      </c>
      <c r="B178" s="2">
        <v>46256</v>
      </c>
      <c r="C178" t="s">
        <v>35</v>
      </c>
      <c r="D178" t="s">
        <v>25</v>
      </c>
      <c r="E178">
        <v>37</v>
      </c>
      <c r="F178" s="3">
        <v>347</v>
      </c>
      <c r="G178" s="4">
        <v>15</v>
      </c>
      <c r="H178">
        <v>1</v>
      </c>
      <c r="I178">
        <v>1</v>
      </c>
      <c r="J178" t="s">
        <v>39</v>
      </c>
      <c r="K178">
        <v>5</v>
      </c>
      <c r="L178" t="s">
        <v>21</v>
      </c>
      <c r="M178" t="s">
        <v>21</v>
      </c>
      <c r="N178" s="29">
        <v>11.1</v>
      </c>
      <c r="O178" t="s">
        <v>27</v>
      </c>
    </row>
    <row r="179" spans="1:15" ht="14.25">
      <c r="A179" t="s">
        <v>213</v>
      </c>
      <c r="B179" s="2">
        <v>46271</v>
      </c>
      <c r="C179" t="s">
        <v>55</v>
      </c>
      <c r="D179" t="s">
        <v>25</v>
      </c>
      <c r="E179">
        <v>39</v>
      </c>
      <c r="F179" s="3">
        <v>807</v>
      </c>
      <c r="G179" s="4">
        <v>25</v>
      </c>
      <c r="H179">
        <v>3</v>
      </c>
      <c r="I179">
        <v>3</v>
      </c>
      <c r="J179" t="s">
        <v>39</v>
      </c>
      <c r="K179">
        <v>5</v>
      </c>
      <c r="L179" t="s">
        <v>21</v>
      </c>
      <c r="M179" t="s">
        <v>21</v>
      </c>
      <c r="N179" s="29">
        <v>5.0999999999999996</v>
      </c>
      <c r="O179" t="s">
        <v>27</v>
      </c>
    </row>
    <row r="180" spans="1:15" ht="14.25">
      <c r="A180" t="s">
        <v>214</v>
      </c>
      <c r="B180" s="2">
        <v>46280</v>
      </c>
      <c r="C180" t="s">
        <v>24</v>
      </c>
      <c r="D180" t="s">
        <v>29</v>
      </c>
      <c r="E180">
        <v>42</v>
      </c>
      <c r="F180" s="3">
        <v>2150</v>
      </c>
      <c r="G180" s="4">
        <v>10</v>
      </c>
      <c r="H180">
        <v>3</v>
      </c>
      <c r="I180">
        <v>3</v>
      </c>
      <c r="J180" t="s">
        <v>39</v>
      </c>
      <c r="K180">
        <v>5</v>
      </c>
      <c r="L180" t="s">
        <v>21</v>
      </c>
      <c r="M180" t="s">
        <v>21</v>
      </c>
      <c r="N180" s="29">
        <v>11.2</v>
      </c>
      <c r="O180" t="s">
        <v>22</v>
      </c>
    </row>
    <row r="181" spans="1:15" ht="14.25">
      <c r="A181" t="s">
        <v>215</v>
      </c>
      <c r="B181" s="2">
        <v>46265</v>
      </c>
      <c r="C181" t="s">
        <v>24</v>
      </c>
      <c r="D181" t="s">
        <v>25</v>
      </c>
      <c r="E181">
        <v>36</v>
      </c>
      <c r="F181" s="3">
        <v>1966</v>
      </c>
      <c r="G181" s="4">
        <v>15</v>
      </c>
      <c r="H181">
        <v>3</v>
      </c>
      <c r="I181">
        <v>3</v>
      </c>
      <c r="J181" t="s">
        <v>20</v>
      </c>
      <c r="K181">
        <v>5</v>
      </c>
      <c r="L181" t="s">
        <v>21</v>
      </c>
      <c r="M181" t="s">
        <v>21</v>
      </c>
      <c r="N181" s="29">
        <v>5.2</v>
      </c>
      <c r="O181" t="s">
        <v>27</v>
      </c>
    </row>
    <row r="182" spans="1:15" ht="14.25">
      <c r="A182" t="s">
        <v>216</v>
      </c>
      <c r="B182" s="2">
        <v>46250</v>
      </c>
      <c r="C182" t="s">
        <v>55</v>
      </c>
      <c r="D182" t="s">
        <v>25</v>
      </c>
      <c r="E182">
        <v>52</v>
      </c>
      <c r="F182" s="3">
        <v>1201</v>
      </c>
      <c r="G182" s="4">
        <v>20</v>
      </c>
      <c r="H182">
        <v>2</v>
      </c>
      <c r="I182">
        <v>2</v>
      </c>
      <c r="J182" t="s">
        <v>26</v>
      </c>
      <c r="K182">
        <v>5</v>
      </c>
      <c r="L182" t="s">
        <v>21</v>
      </c>
      <c r="M182" t="s">
        <v>21</v>
      </c>
      <c r="N182" s="29">
        <v>15.9</v>
      </c>
      <c r="O182" t="s">
        <v>59</v>
      </c>
    </row>
    <row r="183" spans="1:15" ht="14.25">
      <c r="A183" t="s">
        <v>217</v>
      </c>
      <c r="B183" s="2">
        <v>46272</v>
      </c>
      <c r="C183" t="s">
        <v>35</v>
      </c>
      <c r="D183" t="s">
        <v>36</v>
      </c>
      <c r="E183">
        <v>20</v>
      </c>
      <c r="F183" s="3">
        <v>435</v>
      </c>
      <c r="G183" s="4">
        <v>25</v>
      </c>
      <c r="H183">
        <v>2</v>
      </c>
      <c r="I183">
        <v>2</v>
      </c>
      <c r="J183" t="s">
        <v>20</v>
      </c>
      <c r="K183">
        <v>4</v>
      </c>
      <c r="L183" t="s">
        <v>21</v>
      </c>
      <c r="M183" t="s">
        <v>21</v>
      </c>
      <c r="N183" s="29">
        <v>27.1</v>
      </c>
      <c r="O183" t="s">
        <v>22</v>
      </c>
    </row>
    <row r="184" spans="1:15" ht="14.25">
      <c r="A184" t="s">
        <v>218</v>
      </c>
      <c r="B184" s="2">
        <v>46242</v>
      </c>
      <c r="C184" t="s">
        <v>55</v>
      </c>
      <c r="D184" t="s">
        <v>36</v>
      </c>
      <c r="E184">
        <v>46</v>
      </c>
      <c r="F184" s="3">
        <v>1065</v>
      </c>
      <c r="G184" s="4">
        <v>10</v>
      </c>
      <c r="H184">
        <v>2</v>
      </c>
      <c r="I184">
        <v>3</v>
      </c>
      <c r="J184" t="s">
        <v>26</v>
      </c>
      <c r="K184">
        <v>3</v>
      </c>
      <c r="L184" t="s">
        <v>21</v>
      </c>
      <c r="M184" t="s">
        <v>21</v>
      </c>
      <c r="N184" s="29">
        <v>13.8</v>
      </c>
      <c r="O184" t="s">
        <v>27</v>
      </c>
    </row>
    <row r="185" spans="1:15" ht="14.25">
      <c r="A185" t="s">
        <v>219</v>
      </c>
      <c r="B185" s="2">
        <v>46276</v>
      </c>
      <c r="C185" t="s">
        <v>24</v>
      </c>
      <c r="D185" t="s">
        <v>29</v>
      </c>
      <c r="E185">
        <v>37</v>
      </c>
      <c r="F185" s="3">
        <v>929</v>
      </c>
      <c r="G185" s="4">
        <v>20</v>
      </c>
      <c r="H185">
        <v>3</v>
      </c>
      <c r="I185">
        <v>6</v>
      </c>
      <c r="J185" t="s">
        <v>30</v>
      </c>
      <c r="K185">
        <v>2</v>
      </c>
      <c r="L185" t="s">
        <v>21</v>
      </c>
      <c r="M185" t="s">
        <v>21</v>
      </c>
      <c r="N185" s="29">
        <v>10.7</v>
      </c>
      <c r="O185" t="s">
        <v>27</v>
      </c>
    </row>
    <row r="186" spans="1:15" ht="14.25">
      <c r="A186" t="s">
        <v>220</v>
      </c>
      <c r="B186" s="2">
        <v>46246</v>
      </c>
      <c r="C186" t="s">
        <v>18</v>
      </c>
      <c r="D186" t="s">
        <v>32</v>
      </c>
      <c r="E186">
        <v>28</v>
      </c>
      <c r="F186" s="3">
        <v>7851</v>
      </c>
      <c r="G186" s="4">
        <v>25</v>
      </c>
      <c r="H186">
        <v>3</v>
      </c>
      <c r="I186">
        <v>3</v>
      </c>
      <c r="J186" t="s">
        <v>33</v>
      </c>
      <c r="K186">
        <v>5</v>
      </c>
      <c r="L186" t="s">
        <v>21</v>
      </c>
      <c r="M186" t="s">
        <v>21</v>
      </c>
      <c r="N186" s="29">
        <v>15.2</v>
      </c>
      <c r="O186" t="s">
        <v>27</v>
      </c>
    </row>
    <row r="187" spans="1:15" ht="14.25">
      <c r="A187" t="s">
        <v>221</v>
      </c>
      <c r="B187" s="2">
        <v>46269</v>
      </c>
      <c r="C187" t="s">
        <v>41</v>
      </c>
      <c r="D187" t="s">
        <v>25</v>
      </c>
      <c r="E187">
        <v>19</v>
      </c>
      <c r="F187" s="3">
        <v>2403</v>
      </c>
      <c r="G187" s="4">
        <v>15</v>
      </c>
      <c r="H187">
        <v>4</v>
      </c>
      <c r="I187">
        <v>5</v>
      </c>
      <c r="J187" t="s">
        <v>26</v>
      </c>
      <c r="K187">
        <v>3</v>
      </c>
      <c r="L187" t="s">
        <v>21</v>
      </c>
      <c r="M187" t="s">
        <v>21</v>
      </c>
      <c r="N187" s="29">
        <v>12.9</v>
      </c>
      <c r="O187" t="s">
        <v>27</v>
      </c>
    </row>
    <row r="188" spans="1:15" ht="14.25">
      <c r="A188" t="s">
        <v>222</v>
      </c>
      <c r="B188" s="2">
        <v>46242</v>
      </c>
      <c r="C188" t="s">
        <v>24</v>
      </c>
      <c r="D188" t="s">
        <v>29</v>
      </c>
      <c r="E188">
        <v>38</v>
      </c>
      <c r="F188" s="3">
        <v>250</v>
      </c>
      <c r="G188" s="4">
        <v>5</v>
      </c>
      <c r="H188">
        <v>3</v>
      </c>
      <c r="I188">
        <v>3</v>
      </c>
      <c r="J188" t="s">
        <v>20</v>
      </c>
      <c r="K188">
        <v>5</v>
      </c>
      <c r="L188" t="s">
        <v>21</v>
      </c>
      <c r="M188" t="s">
        <v>21</v>
      </c>
      <c r="N188" s="29">
        <v>4.5</v>
      </c>
      <c r="O188" t="s">
        <v>22</v>
      </c>
    </row>
    <row r="189" spans="1:15" ht="14.25">
      <c r="A189" t="s">
        <v>223</v>
      </c>
      <c r="B189" s="2">
        <v>46267</v>
      </c>
      <c r="C189" t="s">
        <v>35</v>
      </c>
      <c r="D189" t="s">
        <v>29</v>
      </c>
      <c r="E189">
        <v>47</v>
      </c>
      <c r="F189" s="3">
        <v>425</v>
      </c>
      <c r="G189" s="4">
        <v>25</v>
      </c>
      <c r="H189">
        <v>2</v>
      </c>
      <c r="I189">
        <v>2</v>
      </c>
      <c r="J189" t="s">
        <v>33</v>
      </c>
      <c r="K189">
        <v>4</v>
      </c>
      <c r="L189" t="s">
        <v>21</v>
      </c>
      <c r="M189" t="s">
        <v>21</v>
      </c>
      <c r="N189" s="29">
        <v>25.8</v>
      </c>
      <c r="O189" t="s">
        <v>27</v>
      </c>
    </row>
    <row r="190" spans="1:15" ht="14.25">
      <c r="A190" t="s">
        <v>224</v>
      </c>
      <c r="B190" s="2">
        <v>46253</v>
      </c>
      <c r="C190" t="s">
        <v>41</v>
      </c>
      <c r="D190" t="s">
        <v>25</v>
      </c>
      <c r="E190">
        <v>26</v>
      </c>
      <c r="F190" s="3">
        <v>1120</v>
      </c>
      <c r="G190" s="4">
        <v>20</v>
      </c>
      <c r="H190">
        <v>3</v>
      </c>
      <c r="I190">
        <v>4</v>
      </c>
      <c r="J190" t="s">
        <v>39</v>
      </c>
      <c r="K190">
        <v>4</v>
      </c>
      <c r="L190" t="s">
        <v>21</v>
      </c>
      <c r="M190" t="s">
        <v>21</v>
      </c>
      <c r="N190" s="29">
        <v>12.7</v>
      </c>
      <c r="O190" t="s">
        <v>22</v>
      </c>
    </row>
    <row r="191" spans="1:15" ht="14.25">
      <c r="A191" t="s">
        <v>225</v>
      </c>
      <c r="B191" s="2">
        <v>46280</v>
      </c>
      <c r="C191" t="s">
        <v>24</v>
      </c>
      <c r="D191" t="s">
        <v>36</v>
      </c>
      <c r="E191">
        <v>38</v>
      </c>
      <c r="F191" s="3">
        <v>2483</v>
      </c>
      <c r="G191" s="4">
        <v>10</v>
      </c>
      <c r="H191">
        <v>2</v>
      </c>
      <c r="I191">
        <v>2</v>
      </c>
      <c r="J191" t="s">
        <v>39</v>
      </c>
      <c r="K191">
        <v>5</v>
      </c>
      <c r="L191" t="s">
        <v>21</v>
      </c>
      <c r="M191" t="s">
        <v>21</v>
      </c>
      <c r="N191" s="29">
        <v>14.3</v>
      </c>
      <c r="O191" t="s">
        <v>22</v>
      </c>
    </row>
    <row r="192" spans="1:15" ht="14.25">
      <c r="A192" t="s">
        <v>226</v>
      </c>
      <c r="B192" s="2">
        <v>46282</v>
      </c>
      <c r="C192" t="s">
        <v>41</v>
      </c>
      <c r="D192" t="s">
        <v>25</v>
      </c>
      <c r="E192">
        <v>28</v>
      </c>
      <c r="F192" s="3">
        <v>1202</v>
      </c>
      <c r="G192" s="4">
        <v>0</v>
      </c>
      <c r="H192">
        <v>4</v>
      </c>
      <c r="I192">
        <v>4</v>
      </c>
      <c r="J192" t="s">
        <v>20</v>
      </c>
      <c r="K192">
        <v>4</v>
      </c>
      <c r="L192" t="s">
        <v>21</v>
      </c>
      <c r="M192" t="s">
        <v>21</v>
      </c>
      <c r="N192" s="29">
        <v>2.2999999999999998</v>
      </c>
      <c r="O192" t="s">
        <v>22</v>
      </c>
    </row>
    <row r="193" spans="1:15" ht="14.25">
      <c r="A193" t="s">
        <v>227</v>
      </c>
      <c r="B193" s="2">
        <v>46254</v>
      </c>
      <c r="C193" t="s">
        <v>41</v>
      </c>
      <c r="D193" t="s">
        <v>47</v>
      </c>
      <c r="E193">
        <v>50</v>
      </c>
      <c r="F193" s="3">
        <v>3047</v>
      </c>
      <c r="G193" s="4">
        <v>20</v>
      </c>
      <c r="H193">
        <v>3</v>
      </c>
      <c r="I193">
        <v>3</v>
      </c>
      <c r="J193" t="s">
        <v>33</v>
      </c>
      <c r="K193">
        <v>5</v>
      </c>
      <c r="L193" t="s">
        <v>21</v>
      </c>
      <c r="M193" t="s">
        <v>21</v>
      </c>
      <c r="N193" s="29">
        <v>15.9</v>
      </c>
      <c r="O193" t="s">
        <v>22</v>
      </c>
    </row>
    <row r="194" spans="1:15" ht="14.25">
      <c r="A194" t="s">
        <v>228</v>
      </c>
      <c r="B194" s="2">
        <v>46275</v>
      </c>
      <c r="C194" t="s">
        <v>18</v>
      </c>
      <c r="D194" t="s">
        <v>25</v>
      </c>
      <c r="E194">
        <v>34</v>
      </c>
      <c r="F194" s="3">
        <v>5003</v>
      </c>
      <c r="G194" s="4">
        <v>10</v>
      </c>
      <c r="H194">
        <v>2</v>
      </c>
      <c r="I194">
        <v>2</v>
      </c>
      <c r="J194" t="s">
        <v>20</v>
      </c>
      <c r="K194">
        <v>4</v>
      </c>
      <c r="L194" t="s">
        <v>21</v>
      </c>
      <c r="M194" t="s">
        <v>21</v>
      </c>
      <c r="N194" s="29">
        <v>13.1</v>
      </c>
      <c r="O194" t="s">
        <v>22</v>
      </c>
    </row>
    <row r="195" spans="1:15" ht="14.25">
      <c r="A195" t="s">
        <v>229</v>
      </c>
      <c r="B195" s="2">
        <v>46278</v>
      </c>
      <c r="C195" t="s">
        <v>41</v>
      </c>
      <c r="D195" t="s">
        <v>36</v>
      </c>
      <c r="E195">
        <v>26</v>
      </c>
      <c r="F195" s="3">
        <v>3077</v>
      </c>
      <c r="G195" s="4">
        <v>0</v>
      </c>
      <c r="H195">
        <v>4</v>
      </c>
      <c r="I195">
        <v>5</v>
      </c>
      <c r="J195" t="s">
        <v>20</v>
      </c>
      <c r="K195">
        <v>3</v>
      </c>
      <c r="L195" t="s">
        <v>21</v>
      </c>
      <c r="M195" t="s">
        <v>21</v>
      </c>
      <c r="N195" s="29">
        <v>10.8</v>
      </c>
      <c r="O195" t="s">
        <v>22</v>
      </c>
    </row>
    <row r="196" spans="1:15" ht="14.25">
      <c r="A196" t="s">
        <v>230</v>
      </c>
      <c r="B196" s="2">
        <v>46266</v>
      </c>
      <c r="C196" t="s">
        <v>18</v>
      </c>
      <c r="D196" t="s">
        <v>36</v>
      </c>
      <c r="E196">
        <v>44</v>
      </c>
      <c r="F196" s="3">
        <v>250</v>
      </c>
      <c r="G196" s="4">
        <v>0</v>
      </c>
      <c r="H196">
        <v>3</v>
      </c>
      <c r="I196">
        <v>4</v>
      </c>
      <c r="J196" t="s">
        <v>39</v>
      </c>
      <c r="K196">
        <v>3</v>
      </c>
      <c r="L196" t="s">
        <v>21</v>
      </c>
      <c r="M196" t="s">
        <v>21</v>
      </c>
      <c r="N196" s="29">
        <v>24.5</v>
      </c>
      <c r="O196" t="s">
        <v>22</v>
      </c>
    </row>
    <row r="197" spans="1:15" ht="14.25">
      <c r="A197" t="s">
        <v>231</v>
      </c>
      <c r="B197" s="2">
        <v>46281</v>
      </c>
      <c r="C197" t="s">
        <v>24</v>
      </c>
      <c r="D197" t="s">
        <v>47</v>
      </c>
      <c r="E197">
        <v>35</v>
      </c>
      <c r="F197" s="3">
        <v>1193</v>
      </c>
      <c r="G197" s="4">
        <v>0</v>
      </c>
      <c r="H197">
        <v>2</v>
      </c>
      <c r="I197">
        <v>2</v>
      </c>
      <c r="J197" t="s">
        <v>26</v>
      </c>
      <c r="K197">
        <v>4</v>
      </c>
      <c r="L197" t="s">
        <v>21</v>
      </c>
      <c r="M197" t="s">
        <v>21</v>
      </c>
      <c r="N197" s="29">
        <v>12.2</v>
      </c>
      <c r="O197" t="s">
        <v>22</v>
      </c>
    </row>
    <row r="198" spans="1:15" ht="14.25">
      <c r="A198" t="s">
        <v>232</v>
      </c>
      <c r="B198" s="2">
        <v>46271</v>
      </c>
      <c r="C198" t="s">
        <v>41</v>
      </c>
      <c r="D198" t="s">
        <v>32</v>
      </c>
      <c r="E198">
        <v>40</v>
      </c>
      <c r="F198" s="3">
        <v>1762</v>
      </c>
      <c r="G198" s="4">
        <v>0</v>
      </c>
      <c r="H198">
        <v>4</v>
      </c>
      <c r="I198">
        <v>4</v>
      </c>
      <c r="J198" t="s">
        <v>33</v>
      </c>
      <c r="K198">
        <v>5</v>
      </c>
      <c r="L198" t="s">
        <v>21</v>
      </c>
      <c r="M198" t="s">
        <v>21</v>
      </c>
      <c r="N198" s="29">
        <v>12</v>
      </c>
      <c r="O198" t="s">
        <v>22</v>
      </c>
    </row>
    <row r="199" spans="1:15" ht="14.25">
      <c r="A199" t="s">
        <v>233</v>
      </c>
      <c r="B199" s="2">
        <v>46247</v>
      </c>
      <c r="C199" t="s">
        <v>41</v>
      </c>
      <c r="D199" t="s">
        <v>38</v>
      </c>
      <c r="E199">
        <v>39</v>
      </c>
      <c r="F199" s="3">
        <v>4200</v>
      </c>
      <c r="G199" s="4">
        <v>0</v>
      </c>
      <c r="H199">
        <v>2</v>
      </c>
      <c r="I199">
        <v>1</v>
      </c>
      <c r="J199" t="s">
        <v>39</v>
      </c>
      <c r="K199">
        <v>4</v>
      </c>
      <c r="L199" t="s">
        <v>21</v>
      </c>
      <c r="M199" t="s">
        <v>21</v>
      </c>
      <c r="N199" s="29">
        <v>18.100000000000001</v>
      </c>
      <c r="O199" t="s">
        <v>27</v>
      </c>
    </row>
    <row r="200" spans="1:15" ht="14.25">
      <c r="A200" t="s">
        <v>234</v>
      </c>
      <c r="B200" s="2">
        <v>46281</v>
      </c>
      <c r="C200" t="s">
        <v>24</v>
      </c>
      <c r="D200" t="s">
        <v>32</v>
      </c>
      <c r="E200">
        <v>37</v>
      </c>
      <c r="F200" s="3">
        <v>858</v>
      </c>
      <c r="G200" s="4">
        <v>5</v>
      </c>
      <c r="H200">
        <v>3</v>
      </c>
      <c r="I200">
        <v>2</v>
      </c>
      <c r="J200" t="s">
        <v>30</v>
      </c>
      <c r="K200">
        <v>4</v>
      </c>
      <c r="L200" t="s">
        <v>21</v>
      </c>
      <c r="M200" t="s">
        <v>21</v>
      </c>
      <c r="N200" s="29">
        <v>4</v>
      </c>
      <c r="O200" t="s">
        <v>27</v>
      </c>
    </row>
    <row r="201" spans="1:15" ht="14.25">
      <c r="A201" t="s">
        <v>235</v>
      </c>
      <c r="B201" s="2">
        <v>46279</v>
      </c>
      <c r="C201" t="s">
        <v>24</v>
      </c>
      <c r="D201" t="s">
        <v>25</v>
      </c>
      <c r="E201">
        <v>23</v>
      </c>
      <c r="F201" s="3">
        <v>1787</v>
      </c>
      <c r="G201" s="4">
        <v>15</v>
      </c>
      <c r="H201">
        <v>2</v>
      </c>
      <c r="I201">
        <v>2</v>
      </c>
      <c r="J201" t="s">
        <v>39</v>
      </c>
      <c r="K201">
        <v>4</v>
      </c>
      <c r="L201" t="s">
        <v>21</v>
      </c>
      <c r="M201" t="s">
        <v>21</v>
      </c>
      <c r="N201" s="29">
        <v>5</v>
      </c>
      <c r="O201" t="s">
        <v>59</v>
      </c>
    </row>
    <row r="202" spans="1:15" ht="14.25">
      <c r="A202" t="s">
        <v>236</v>
      </c>
      <c r="B202" s="2">
        <v>46276</v>
      </c>
      <c r="C202" t="s">
        <v>24</v>
      </c>
      <c r="D202" t="s">
        <v>25</v>
      </c>
      <c r="E202">
        <v>22</v>
      </c>
      <c r="F202" s="3">
        <v>1759</v>
      </c>
      <c r="G202" s="4">
        <v>5</v>
      </c>
      <c r="H202">
        <v>3</v>
      </c>
      <c r="I202">
        <v>2</v>
      </c>
      <c r="J202" t="s">
        <v>33</v>
      </c>
      <c r="K202">
        <v>4</v>
      </c>
      <c r="L202" t="s">
        <v>21</v>
      </c>
      <c r="M202" t="s">
        <v>21</v>
      </c>
      <c r="N202" s="29">
        <v>3.9</v>
      </c>
      <c r="O202" t="s">
        <v>22</v>
      </c>
    </row>
    <row r="203" spans="1:15" ht="14.25">
      <c r="A203" t="s">
        <v>237</v>
      </c>
      <c r="B203" s="2">
        <v>46243</v>
      </c>
      <c r="C203" t="s">
        <v>24</v>
      </c>
      <c r="D203" t="s">
        <v>19</v>
      </c>
      <c r="E203">
        <v>51</v>
      </c>
      <c r="F203" s="3">
        <v>660</v>
      </c>
      <c r="G203" s="4">
        <v>5</v>
      </c>
      <c r="H203">
        <v>3</v>
      </c>
      <c r="I203">
        <v>3</v>
      </c>
      <c r="J203" t="s">
        <v>26</v>
      </c>
      <c r="K203">
        <v>5</v>
      </c>
      <c r="L203" t="s">
        <v>21</v>
      </c>
      <c r="M203" t="s">
        <v>21</v>
      </c>
      <c r="N203" s="29">
        <v>10.8</v>
      </c>
      <c r="O203" t="s">
        <v>27</v>
      </c>
    </row>
    <row r="204" spans="1:15" ht="14.25">
      <c r="A204" t="s">
        <v>238</v>
      </c>
      <c r="B204" s="2">
        <v>46279</v>
      </c>
      <c r="C204" t="s">
        <v>18</v>
      </c>
      <c r="D204" t="s">
        <v>47</v>
      </c>
      <c r="E204">
        <v>42</v>
      </c>
      <c r="F204" s="3">
        <v>2870</v>
      </c>
      <c r="G204" s="4">
        <v>10</v>
      </c>
      <c r="H204">
        <v>3</v>
      </c>
      <c r="I204">
        <v>5</v>
      </c>
      <c r="J204" t="s">
        <v>30</v>
      </c>
      <c r="K204">
        <v>3</v>
      </c>
      <c r="L204" t="s">
        <v>21</v>
      </c>
      <c r="M204" t="s">
        <v>21</v>
      </c>
      <c r="N204" s="29">
        <v>9.8000000000000007</v>
      </c>
      <c r="O204" t="s">
        <v>22</v>
      </c>
    </row>
    <row r="205" spans="1:15" ht="14.25">
      <c r="A205" t="s">
        <v>239</v>
      </c>
      <c r="B205" s="2">
        <v>46235</v>
      </c>
      <c r="C205" t="s">
        <v>18</v>
      </c>
      <c r="D205" t="s">
        <v>38</v>
      </c>
      <c r="E205">
        <v>37</v>
      </c>
      <c r="F205" s="3">
        <v>5143</v>
      </c>
      <c r="G205" s="4">
        <v>5</v>
      </c>
      <c r="H205">
        <v>3</v>
      </c>
      <c r="I205">
        <v>4</v>
      </c>
      <c r="J205" t="s">
        <v>20</v>
      </c>
      <c r="K205">
        <v>4</v>
      </c>
      <c r="L205" t="s">
        <v>21</v>
      </c>
      <c r="M205" t="s">
        <v>21</v>
      </c>
      <c r="N205" s="29">
        <v>9.3000000000000007</v>
      </c>
      <c r="O205" t="s">
        <v>22</v>
      </c>
    </row>
    <row r="206" spans="1:15" ht="14.25">
      <c r="A206" t="s">
        <v>240</v>
      </c>
      <c r="B206" s="2">
        <v>46235</v>
      </c>
      <c r="C206" t="s">
        <v>35</v>
      </c>
      <c r="D206" t="s">
        <v>29</v>
      </c>
      <c r="E206">
        <v>26</v>
      </c>
      <c r="F206" s="3">
        <v>1359</v>
      </c>
      <c r="G206" s="4">
        <v>15</v>
      </c>
      <c r="H206">
        <v>3</v>
      </c>
      <c r="I206">
        <v>3</v>
      </c>
      <c r="J206" t="s">
        <v>26</v>
      </c>
      <c r="K206">
        <v>5</v>
      </c>
      <c r="L206" t="s">
        <v>21</v>
      </c>
      <c r="M206" t="s">
        <v>21</v>
      </c>
      <c r="N206" s="29">
        <v>12.7</v>
      </c>
      <c r="O206" t="s">
        <v>27</v>
      </c>
    </row>
    <row r="207" spans="1:15" ht="14.25">
      <c r="A207" t="s">
        <v>241</v>
      </c>
      <c r="B207" s="2">
        <v>46252</v>
      </c>
      <c r="C207" t="s">
        <v>35</v>
      </c>
      <c r="D207" t="s">
        <v>36</v>
      </c>
      <c r="E207">
        <v>20</v>
      </c>
      <c r="F207" s="3">
        <v>1654</v>
      </c>
      <c r="G207" s="4">
        <v>15</v>
      </c>
      <c r="H207">
        <v>3</v>
      </c>
      <c r="I207">
        <v>3</v>
      </c>
      <c r="J207" t="s">
        <v>33</v>
      </c>
      <c r="K207">
        <v>4</v>
      </c>
      <c r="L207" t="s">
        <v>21</v>
      </c>
      <c r="M207" t="s">
        <v>21</v>
      </c>
      <c r="N207" s="29">
        <v>9.1</v>
      </c>
      <c r="O207" t="s">
        <v>22</v>
      </c>
    </row>
    <row r="208" spans="1:15" ht="14.25">
      <c r="A208" t="s">
        <v>242</v>
      </c>
      <c r="B208" s="2">
        <v>46254</v>
      </c>
      <c r="C208" t="s">
        <v>18</v>
      </c>
      <c r="D208" t="s">
        <v>29</v>
      </c>
      <c r="E208">
        <v>23</v>
      </c>
      <c r="F208" s="3">
        <v>1351</v>
      </c>
      <c r="G208" s="4">
        <v>20</v>
      </c>
      <c r="H208">
        <v>3</v>
      </c>
      <c r="I208">
        <v>5</v>
      </c>
      <c r="J208" t="s">
        <v>26</v>
      </c>
      <c r="K208">
        <v>3</v>
      </c>
      <c r="L208" t="s">
        <v>21</v>
      </c>
      <c r="M208" t="s">
        <v>21</v>
      </c>
      <c r="N208" s="29">
        <v>27.3</v>
      </c>
      <c r="O208" t="s">
        <v>22</v>
      </c>
    </row>
    <row r="209" spans="1:15" ht="14.25">
      <c r="A209" t="s">
        <v>243</v>
      </c>
      <c r="B209" s="2">
        <v>46279</v>
      </c>
      <c r="C209" t="s">
        <v>41</v>
      </c>
      <c r="D209" t="s">
        <v>32</v>
      </c>
      <c r="E209">
        <v>33</v>
      </c>
      <c r="F209" s="3">
        <v>3076</v>
      </c>
      <c r="G209" s="4">
        <v>15</v>
      </c>
      <c r="H209">
        <v>2</v>
      </c>
      <c r="I209">
        <v>2</v>
      </c>
      <c r="J209" t="s">
        <v>33</v>
      </c>
      <c r="K209">
        <v>5</v>
      </c>
      <c r="L209" t="s">
        <v>21</v>
      </c>
      <c r="M209" t="s">
        <v>21</v>
      </c>
      <c r="N209" s="29">
        <v>13.5</v>
      </c>
      <c r="O209" t="s">
        <v>27</v>
      </c>
    </row>
    <row r="210" spans="1:15" ht="14.25">
      <c r="A210" t="s">
        <v>244</v>
      </c>
      <c r="B210" s="2">
        <v>46236</v>
      </c>
      <c r="C210" t="s">
        <v>18</v>
      </c>
      <c r="D210" t="s">
        <v>36</v>
      </c>
      <c r="E210">
        <v>49</v>
      </c>
      <c r="F210" s="3">
        <v>4577</v>
      </c>
      <c r="G210" s="4">
        <v>10</v>
      </c>
      <c r="H210">
        <v>4</v>
      </c>
      <c r="I210">
        <v>4</v>
      </c>
      <c r="J210" t="s">
        <v>26</v>
      </c>
      <c r="K210">
        <v>4</v>
      </c>
      <c r="L210" t="s">
        <v>21</v>
      </c>
      <c r="M210" t="s">
        <v>21</v>
      </c>
      <c r="N210" s="29">
        <v>15.2</v>
      </c>
      <c r="O210" t="s">
        <v>27</v>
      </c>
    </row>
    <row r="211" spans="1:15" ht="14.25">
      <c r="A211" t="s">
        <v>245</v>
      </c>
      <c r="B211" s="2">
        <v>46241</v>
      </c>
      <c r="C211" t="s">
        <v>35</v>
      </c>
      <c r="D211" t="s">
        <v>38</v>
      </c>
      <c r="E211">
        <v>45</v>
      </c>
      <c r="F211" s="3">
        <v>882</v>
      </c>
      <c r="G211" s="4">
        <v>25</v>
      </c>
      <c r="H211">
        <v>3</v>
      </c>
      <c r="I211">
        <v>4</v>
      </c>
      <c r="J211" t="s">
        <v>30</v>
      </c>
      <c r="K211">
        <v>4</v>
      </c>
      <c r="L211" t="s">
        <v>21</v>
      </c>
      <c r="M211" t="s">
        <v>21</v>
      </c>
      <c r="N211" s="29">
        <v>18.100000000000001</v>
      </c>
      <c r="O211" t="s">
        <v>27</v>
      </c>
    </row>
    <row r="212" spans="1:15" ht="14.25">
      <c r="A212" t="s">
        <v>246</v>
      </c>
      <c r="B212" s="2">
        <v>46270</v>
      </c>
      <c r="C212" t="s">
        <v>55</v>
      </c>
      <c r="D212" t="s">
        <v>32</v>
      </c>
      <c r="E212">
        <v>25</v>
      </c>
      <c r="F212" s="3">
        <v>1615</v>
      </c>
      <c r="G212" s="4">
        <v>5</v>
      </c>
      <c r="H212">
        <v>3</v>
      </c>
      <c r="I212">
        <v>2</v>
      </c>
      <c r="J212" t="s">
        <v>26</v>
      </c>
      <c r="K212">
        <v>4</v>
      </c>
      <c r="L212" t="s">
        <v>21</v>
      </c>
      <c r="M212" t="s">
        <v>21</v>
      </c>
      <c r="N212" s="29">
        <v>1.6</v>
      </c>
      <c r="O212" t="s">
        <v>27</v>
      </c>
    </row>
    <row r="213" spans="1:15" ht="14.25">
      <c r="A213" t="s">
        <v>247</v>
      </c>
      <c r="B213" s="2">
        <v>46260</v>
      </c>
      <c r="C213" t="s">
        <v>41</v>
      </c>
      <c r="D213" t="s">
        <v>36</v>
      </c>
      <c r="E213">
        <v>38</v>
      </c>
      <c r="F213" s="3">
        <v>2629</v>
      </c>
      <c r="G213" s="4">
        <v>10</v>
      </c>
      <c r="H213">
        <v>3</v>
      </c>
      <c r="I213">
        <v>2</v>
      </c>
      <c r="J213" t="s">
        <v>26</v>
      </c>
      <c r="K213">
        <v>5</v>
      </c>
      <c r="L213" t="s">
        <v>21</v>
      </c>
      <c r="M213" t="s">
        <v>21</v>
      </c>
      <c r="N213" s="29">
        <v>23.4</v>
      </c>
      <c r="O213" t="s">
        <v>22</v>
      </c>
    </row>
    <row r="214" spans="1:15" ht="14.25">
      <c r="A214" t="s">
        <v>248</v>
      </c>
      <c r="B214" s="2">
        <v>46258</v>
      </c>
      <c r="C214" t="s">
        <v>18</v>
      </c>
      <c r="D214" t="s">
        <v>25</v>
      </c>
      <c r="E214">
        <v>36</v>
      </c>
      <c r="F214" s="3">
        <v>9762</v>
      </c>
      <c r="G214" s="4">
        <v>10</v>
      </c>
      <c r="H214">
        <v>3</v>
      </c>
      <c r="I214">
        <v>3</v>
      </c>
      <c r="J214" t="s">
        <v>39</v>
      </c>
      <c r="K214">
        <v>4</v>
      </c>
      <c r="L214" t="s">
        <v>21</v>
      </c>
      <c r="M214" t="s">
        <v>21</v>
      </c>
      <c r="N214" s="29">
        <v>3.8</v>
      </c>
      <c r="O214" t="s">
        <v>22</v>
      </c>
    </row>
    <row r="215" spans="1:15" ht="14.25">
      <c r="A215" t="s">
        <v>249</v>
      </c>
      <c r="B215" s="2">
        <v>46235</v>
      </c>
      <c r="C215" t="s">
        <v>55</v>
      </c>
      <c r="D215" t="s">
        <v>25</v>
      </c>
      <c r="E215">
        <v>30</v>
      </c>
      <c r="F215" s="3">
        <v>1317</v>
      </c>
      <c r="G215" s="4">
        <v>5</v>
      </c>
      <c r="H215">
        <v>2</v>
      </c>
      <c r="I215">
        <v>2</v>
      </c>
      <c r="J215" t="s">
        <v>30</v>
      </c>
      <c r="K215">
        <v>5</v>
      </c>
      <c r="L215" t="s">
        <v>21</v>
      </c>
      <c r="M215" t="s">
        <v>21</v>
      </c>
      <c r="N215" s="29">
        <v>1.7</v>
      </c>
      <c r="O215" t="s">
        <v>27</v>
      </c>
    </row>
    <row r="216" spans="1:15" ht="14.25">
      <c r="A216" t="s">
        <v>250</v>
      </c>
      <c r="B216" s="2">
        <v>46249</v>
      </c>
      <c r="C216" t="s">
        <v>41</v>
      </c>
      <c r="D216" t="s">
        <v>38</v>
      </c>
      <c r="E216">
        <v>37</v>
      </c>
      <c r="F216" s="3">
        <v>1099</v>
      </c>
      <c r="G216" s="4">
        <v>0</v>
      </c>
      <c r="H216">
        <v>3</v>
      </c>
      <c r="I216">
        <v>6</v>
      </c>
      <c r="J216" t="s">
        <v>26</v>
      </c>
      <c r="K216">
        <v>3</v>
      </c>
      <c r="L216" t="s">
        <v>21</v>
      </c>
      <c r="M216" t="s">
        <v>21</v>
      </c>
      <c r="N216" s="29">
        <v>15.5</v>
      </c>
      <c r="O216" t="s">
        <v>27</v>
      </c>
    </row>
    <row r="217" spans="1:15" ht="14.25">
      <c r="A217" t="s">
        <v>251</v>
      </c>
      <c r="B217" s="2">
        <v>46253</v>
      </c>
      <c r="C217" t="s">
        <v>55</v>
      </c>
      <c r="D217" t="s">
        <v>25</v>
      </c>
      <c r="E217">
        <v>41</v>
      </c>
      <c r="F217" s="3">
        <v>437</v>
      </c>
      <c r="G217" s="4">
        <v>20</v>
      </c>
      <c r="H217">
        <v>1</v>
      </c>
      <c r="I217">
        <v>1</v>
      </c>
      <c r="J217" t="s">
        <v>33</v>
      </c>
      <c r="K217">
        <v>4</v>
      </c>
      <c r="L217" t="s">
        <v>21</v>
      </c>
      <c r="M217" t="s">
        <v>21</v>
      </c>
      <c r="N217" s="29">
        <v>14.9</v>
      </c>
      <c r="O217" t="s">
        <v>59</v>
      </c>
    </row>
    <row r="218" spans="1:15" ht="14.25">
      <c r="A218" t="s">
        <v>252</v>
      </c>
      <c r="B218" s="2">
        <v>46245</v>
      </c>
      <c r="C218" t="s">
        <v>35</v>
      </c>
      <c r="D218" t="s">
        <v>38</v>
      </c>
      <c r="E218">
        <v>38</v>
      </c>
      <c r="F218" s="3">
        <v>1049</v>
      </c>
      <c r="G218" s="4">
        <v>15</v>
      </c>
      <c r="H218">
        <v>2</v>
      </c>
      <c r="I218">
        <v>1</v>
      </c>
      <c r="J218" t="s">
        <v>26</v>
      </c>
      <c r="K218">
        <v>5</v>
      </c>
      <c r="L218" t="s">
        <v>21</v>
      </c>
      <c r="M218" t="s">
        <v>21</v>
      </c>
      <c r="N218" s="29">
        <v>9.9</v>
      </c>
      <c r="O218" t="s">
        <v>27</v>
      </c>
    </row>
    <row r="219" spans="1:15" ht="14.25">
      <c r="A219" t="s">
        <v>253</v>
      </c>
      <c r="B219" s="2">
        <v>46237</v>
      </c>
      <c r="C219" t="s">
        <v>41</v>
      </c>
      <c r="D219" t="s">
        <v>25</v>
      </c>
      <c r="E219">
        <v>38</v>
      </c>
      <c r="F219" s="3">
        <v>1362</v>
      </c>
      <c r="G219" s="4">
        <v>5</v>
      </c>
      <c r="H219">
        <v>3</v>
      </c>
      <c r="I219">
        <v>2</v>
      </c>
      <c r="J219" t="s">
        <v>20</v>
      </c>
      <c r="K219">
        <v>4</v>
      </c>
      <c r="L219" t="s">
        <v>21</v>
      </c>
      <c r="M219" t="s">
        <v>21</v>
      </c>
      <c r="N219" s="29">
        <v>9.6999999999999993</v>
      </c>
      <c r="O219" t="s">
        <v>22</v>
      </c>
    </row>
    <row r="220" spans="1:15" ht="14.25">
      <c r="A220" t="s">
        <v>254</v>
      </c>
      <c r="B220" s="2">
        <v>46260</v>
      </c>
      <c r="C220" t="s">
        <v>24</v>
      </c>
      <c r="D220" t="s">
        <v>38</v>
      </c>
      <c r="E220">
        <v>38</v>
      </c>
      <c r="F220" s="3">
        <v>2418</v>
      </c>
      <c r="G220" s="4">
        <v>5</v>
      </c>
      <c r="H220">
        <v>2</v>
      </c>
      <c r="I220">
        <v>2</v>
      </c>
      <c r="J220" t="s">
        <v>26</v>
      </c>
      <c r="K220">
        <v>5</v>
      </c>
      <c r="L220" t="s">
        <v>21</v>
      </c>
      <c r="M220" t="s">
        <v>21</v>
      </c>
      <c r="N220" s="29">
        <v>20.3</v>
      </c>
      <c r="O220" t="s">
        <v>59</v>
      </c>
    </row>
    <row r="221" spans="1:15" ht="14.25">
      <c r="A221" t="s">
        <v>255</v>
      </c>
      <c r="B221" s="2">
        <v>46272</v>
      </c>
      <c r="C221" t="s">
        <v>41</v>
      </c>
      <c r="D221" t="s">
        <v>47</v>
      </c>
      <c r="E221">
        <v>53</v>
      </c>
      <c r="F221" s="3">
        <v>2601</v>
      </c>
      <c r="G221" s="4">
        <v>5</v>
      </c>
      <c r="H221">
        <v>2</v>
      </c>
      <c r="I221">
        <v>2</v>
      </c>
      <c r="J221" t="s">
        <v>26</v>
      </c>
      <c r="K221">
        <v>4</v>
      </c>
      <c r="L221" t="s">
        <v>21</v>
      </c>
      <c r="M221" t="s">
        <v>21</v>
      </c>
      <c r="N221" s="29">
        <v>1.8</v>
      </c>
      <c r="O221" t="s">
        <v>22</v>
      </c>
    </row>
    <row r="222" spans="1:15" ht="14.25">
      <c r="A222" t="s">
        <v>256</v>
      </c>
      <c r="B222" s="2">
        <v>46238</v>
      </c>
      <c r="C222" t="s">
        <v>55</v>
      </c>
      <c r="D222" t="s">
        <v>29</v>
      </c>
      <c r="E222">
        <v>22</v>
      </c>
      <c r="F222" s="3">
        <v>2068</v>
      </c>
      <c r="G222" s="4">
        <v>0</v>
      </c>
      <c r="H222">
        <v>1</v>
      </c>
      <c r="I222">
        <v>1</v>
      </c>
      <c r="J222" t="s">
        <v>39</v>
      </c>
      <c r="K222">
        <v>4</v>
      </c>
      <c r="L222" t="s">
        <v>21</v>
      </c>
      <c r="M222" t="s">
        <v>21</v>
      </c>
      <c r="N222" s="29">
        <v>6.7</v>
      </c>
      <c r="O222" t="s">
        <v>27</v>
      </c>
    </row>
    <row r="223" spans="1:15" ht="14.25">
      <c r="A223" t="s">
        <v>257</v>
      </c>
      <c r="B223" s="2">
        <v>46274</v>
      </c>
      <c r="C223" t="s">
        <v>24</v>
      </c>
      <c r="D223" t="s">
        <v>47</v>
      </c>
      <c r="E223">
        <v>45</v>
      </c>
      <c r="F223" s="3">
        <v>2192</v>
      </c>
      <c r="G223" s="4">
        <v>0</v>
      </c>
      <c r="H223">
        <v>3</v>
      </c>
      <c r="I223">
        <v>4</v>
      </c>
      <c r="J223" t="s">
        <v>20</v>
      </c>
      <c r="K223">
        <v>4</v>
      </c>
      <c r="L223" t="s">
        <v>21</v>
      </c>
      <c r="M223" t="s">
        <v>21</v>
      </c>
      <c r="N223" s="29">
        <v>19.600000000000001</v>
      </c>
      <c r="O223" t="s">
        <v>27</v>
      </c>
    </row>
    <row r="224" spans="1:15" ht="14.25">
      <c r="A224" t="s">
        <v>258</v>
      </c>
      <c r="B224" s="2">
        <v>46250</v>
      </c>
      <c r="C224" t="s">
        <v>55</v>
      </c>
      <c r="D224" t="s">
        <v>36</v>
      </c>
      <c r="E224">
        <v>36</v>
      </c>
      <c r="F224" s="3">
        <v>858</v>
      </c>
      <c r="G224" s="4">
        <v>15</v>
      </c>
      <c r="H224">
        <v>2</v>
      </c>
      <c r="I224">
        <v>1</v>
      </c>
      <c r="J224" t="s">
        <v>20</v>
      </c>
      <c r="K224">
        <v>4</v>
      </c>
      <c r="L224" t="s">
        <v>21</v>
      </c>
      <c r="M224" t="s">
        <v>21</v>
      </c>
      <c r="N224" s="29">
        <v>24.9</v>
      </c>
      <c r="O224" t="s">
        <v>22</v>
      </c>
    </row>
    <row r="225" spans="1:15" ht="14.25">
      <c r="A225" t="s">
        <v>259</v>
      </c>
      <c r="B225" s="2">
        <v>46236</v>
      </c>
      <c r="C225" t="s">
        <v>55</v>
      </c>
      <c r="D225" t="s">
        <v>38</v>
      </c>
      <c r="E225">
        <v>19</v>
      </c>
      <c r="F225" s="3">
        <v>2444</v>
      </c>
      <c r="G225" s="4">
        <v>10</v>
      </c>
      <c r="H225">
        <v>2</v>
      </c>
      <c r="I225">
        <v>3</v>
      </c>
      <c r="J225" t="s">
        <v>33</v>
      </c>
      <c r="K225">
        <v>4</v>
      </c>
      <c r="L225" t="s">
        <v>21</v>
      </c>
      <c r="M225" t="s">
        <v>21</v>
      </c>
      <c r="N225" s="29">
        <v>15.9</v>
      </c>
      <c r="O225" t="s">
        <v>27</v>
      </c>
    </row>
    <row r="226" spans="1:15" ht="14.25">
      <c r="A226" t="s">
        <v>260</v>
      </c>
      <c r="B226" s="2">
        <v>46283</v>
      </c>
      <c r="C226" t="s">
        <v>35</v>
      </c>
      <c r="D226" t="s">
        <v>19</v>
      </c>
      <c r="E226">
        <v>48</v>
      </c>
      <c r="F226" s="3">
        <v>859</v>
      </c>
      <c r="G226" s="4">
        <v>20</v>
      </c>
      <c r="H226">
        <v>2</v>
      </c>
      <c r="I226">
        <v>2</v>
      </c>
      <c r="J226" t="s">
        <v>26</v>
      </c>
      <c r="K226">
        <v>4</v>
      </c>
      <c r="L226" t="s">
        <v>21</v>
      </c>
      <c r="M226" t="s">
        <v>21</v>
      </c>
      <c r="N226" s="29">
        <v>21.8</v>
      </c>
      <c r="O226" t="s">
        <v>22</v>
      </c>
    </row>
    <row r="227" spans="1:15" ht="14.25">
      <c r="A227" t="s">
        <v>261</v>
      </c>
      <c r="B227" s="2">
        <v>46244</v>
      </c>
      <c r="C227" t="s">
        <v>24</v>
      </c>
      <c r="D227" t="s">
        <v>47</v>
      </c>
      <c r="E227">
        <v>42</v>
      </c>
      <c r="F227" s="3">
        <v>747</v>
      </c>
      <c r="G227" s="4">
        <v>5</v>
      </c>
      <c r="H227">
        <v>3</v>
      </c>
      <c r="I227">
        <v>3</v>
      </c>
      <c r="J227" t="s">
        <v>20</v>
      </c>
      <c r="K227">
        <v>5</v>
      </c>
      <c r="L227" t="s">
        <v>56</v>
      </c>
      <c r="M227" t="s">
        <v>21</v>
      </c>
      <c r="N227" s="29">
        <v>7.8</v>
      </c>
      <c r="O227" t="s">
        <v>59</v>
      </c>
    </row>
    <row r="228" spans="1:15" ht="14.25">
      <c r="A228" t="s">
        <v>262</v>
      </c>
      <c r="B228" s="2">
        <v>46247</v>
      </c>
      <c r="C228" t="s">
        <v>55</v>
      </c>
      <c r="D228" t="s">
        <v>36</v>
      </c>
      <c r="E228">
        <v>49</v>
      </c>
      <c r="F228" s="3">
        <v>2307</v>
      </c>
      <c r="G228" s="4">
        <v>20</v>
      </c>
      <c r="H228">
        <v>2</v>
      </c>
      <c r="I228">
        <v>3</v>
      </c>
      <c r="J228" t="s">
        <v>20</v>
      </c>
      <c r="K228">
        <v>3</v>
      </c>
      <c r="L228" t="s">
        <v>21</v>
      </c>
      <c r="M228" t="s">
        <v>21</v>
      </c>
      <c r="N228" s="29">
        <v>6.2</v>
      </c>
      <c r="O228" t="s">
        <v>27</v>
      </c>
    </row>
    <row r="229" spans="1:15" ht="14.25">
      <c r="A229" t="s">
        <v>263</v>
      </c>
      <c r="B229" s="2">
        <v>46280</v>
      </c>
      <c r="C229" t="s">
        <v>24</v>
      </c>
      <c r="D229" t="s">
        <v>29</v>
      </c>
      <c r="E229">
        <v>29</v>
      </c>
      <c r="F229" s="3">
        <v>3314</v>
      </c>
      <c r="G229" s="4">
        <v>10</v>
      </c>
      <c r="H229">
        <v>2</v>
      </c>
      <c r="I229">
        <v>2</v>
      </c>
      <c r="J229" t="s">
        <v>30</v>
      </c>
      <c r="K229">
        <v>5</v>
      </c>
      <c r="L229" t="s">
        <v>21</v>
      </c>
      <c r="M229" t="s">
        <v>21</v>
      </c>
      <c r="N229" s="29">
        <v>2.1</v>
      </c>
      <c r="O229" t="s">
        <v>59</v>
      </c>
    </row>
    <row r="230" spans="1:15" ht="14.25">
      <c r="A230" t="s">
        <v>264</v>
      </c>
      <c r="B230" s="2">
        <v>46279</v>
      </c>
      <c r="C230" t="s">
        <v>41</v>
      </c>
      <c r="D230" t="s">
        <v>47</v>
      </c>
      <c r="E230">
        <v>24</v>
      </c>
      <c r="F230" s="3">
        <v>1469</v>
      </c>
      <c r="G230" s="4">
        <v>10</v>
      </c>
      <c r="H230">
        <v>3</v>
      </c>
      <c r="I230">
        <v>3</v>
      </c>
      <c r="J230" t="s">
        <v>20</v>
      </c>
      <c r="K230">
        <v>5</v>
      </c>
      <c r="L230" t="s">
        <v>21</v>
      </c>
      <c r="M230" t="s">
        <v>21</v>
      </c>
      <c r="N230" s="29">
        <v>10</v>
      </c>
      <c r="O230" t="s">
        <v>27</v>
      </c>
    </row>
    <row r="231" spans="1:15" ht="14.25">
      <c r="A231" t="s">
        <v>265</v>
      </c>
      <c r="B231" s="2">
        <v>46237</v>
      </c>
      <c r="C231" t="s">
        <v>55</v>
      </c>
      <c r="D231" t="s">
        <v>38</v>
      </c>
      <c r="E231">
        <v>40</v>
      </c>
      <c r="F231" s="3">
        <v>1533</v>
      </c>
      <c r="G231" s="4">
        <v>5</v>
      </c>
      <c r="H231">
        <v>2</v>
      </c>
      <c r="I231">
        <v>2</v>
      </c>
      <c r="J231" t="s">
        <v>20</v>
      </c>
      <c r="K231">
        <v>4</v>
      </c>
      <c r="L231" t="s">
        <v>56</v>
      </c>
      <c r="M231" t="s">
        <v>21</v>
      </c>
      <c r="N231" s="29">
        <v>9.6</v>
      </c>
      <c r="O231" t="s">
        <v>22</v>
      </c>
    </row>
    <row r="232" spans="1:15" ht="14.25">
      <c r="A232" t="s">
        <v>266</v>
      </c>
      <c r="B232" s="2">
        <v>46275</v>
      </c>
      <c r="C232" t="s">
        <v>24</v>
      </c>
      <c r="D232" t="s">
        <v>47</v>
      </c>
      <c r="E232">
        <v>38</v>
      </c>
      <c r="F232" s="3">
        <v>2983</v>
      </c>
      <c r="G232" s="4">
        <v>20</v>
      </c>
      <c r="H232">
        <v>3</v>
      </c>
      <c r="I232">
        <v>6</v>
      </c>
      <c r="J232" t="s">
        <v>33</v>
      </c>
      <c r="K232">
        <v>2</v>
      </c>
      <c r="L232" t="s">
        <v>21</v>
      </c>
      <c r="M232" t="s">
        <v>21</v>
      </c>
      <c r="N232" s="29">
        <v>18.5</v>
      </c>
      <c r="O232" t="s">
        <v>59</v>
      </c>
    </row>
    <row r="233" spans="1:15" ht="14.25">
      <c r="A233" t="s">
        <v>267</v>
      </c>
      <c r="B233" s="2">
        <v>46266</v>
      </c>
      <c r="C233" t="s">
        <v>18</v>
      </c>
      <c r="D233" t="s">
        <v>38</v>
      </c>
      <c r="E233">
        <v>39</v>
      </c>
      <c r="F233" s="3">
        <v>2346</v>
      </c>
      <c r="G233" s="4">
        <v>5</v>
      </c>
      <c r="H233">
        <v>2</v>
      </c>
      <c r="I233">
        <v>1</v>
      </c>
      <c r="J233" t="s">
        <v>39</v>
      </c>
      <c r="K233">
        <v>4</v>
      </c>
      <c r="L233" t="s">
        <v>21</v>
      </c>
      <c r="M233" t="s">
        <v>21</v>
      </c>
      <c r="N233" s="29">
        <v>10.8</v>
      </c>
      <c r="O233" t="s">
        <v>27</v>
      </c>
    </row>
    <row r="234" spans="1:15" ht="14.25">
      <c r="A234" t="s">
        <v>268</v>
      </c>
      <c r="B234" s="2">
        <v>46253</v>
      </c>
      <c r="C234" t="s">
        <v>41</v>
      </c>
      <c r="D234" t="s">
        <v>29</v>
      </c>
      <c r="E234">
        <v>52</v>
      </c>
      <c r="F234" s="3">
        <v>2910</v>
      </c>
      <c r="G234" s="4">
        <v>15</v>
      </c>
      <c r="H234">
        <v>2</v>
      </c>
      <c r="I234">
        <v>3</v>
      </c>
      <c r="J234" t="s">
        <v>26</v>
      </c>
      <c r="K234">
        <v>4</v>
      </c>
      <c r="L234" t="s">
        <v>21</v>
      </c>
      <c r="M234" t="s">
        <v>21</v>
      </c>
      <c r="N234" s="29">
        <v>23.5</v>
      </c>
      <c r="O234" t="s">
        <v>27</v>
      </c>
    </row>
    <row r="235" spans="1:15" ht="14.25">
      <c r="A235" t="s">
        <v>269</v>
      </c>
      <c r="B235" s="2">
        <v>46276</v>
      </c>
      <c r="C235" t="s">
        <v>18</v>
      </c>
      <c r="D235" t="s">
        <v>29</v>
      </c>
      <c r="E235">
        <v>34</v>
      </c>
      <c r="F235" s="3">
        <v>5136</v>
      </c>
      <c r="G235" s="4">
        <v>5</v>
      </c>
      <c r="H235">
        <v>3</v>
      </c>
      <c r="I235">
        <v>4</v>
      </c>
      <c r="J235" t="s">
        <v>39</v>
      </c>
      <c r="K235">
        <v>4</v>
      </c>
      <c r="L235" t="s">
        <v>21</v>
      </c>
      <c r="M235" t="s">
        <v>21</v>
      </c>
      <c r="N235" s="29">
        <v>5.8</v>
      </c>
      <c r="O235" t="s">
        <v>22</v>
      </c>
    </row>
    <row r="236" spans="1:15" ht="14.25">
      <c r="A236" t="s">
        <v>270</v>
      </c>
      <c r="B236" s="2">
        <v>46254</v>
      </c>
      <c r="C236" t="s">
        <v>24</v>
      </c>
      <c r="D236" t="s">
        <v>47</v>
      </c>
      <c r="E236">
        <v>45</v>
      </c>
      <c r="F236" s="3">
        <v>1694</v>
      </c>
      <c r="G236" s="4">
        <v>5</v>
      </c>
      <c r="H236">
        <v>2</v>
      </c>
      <c r="I236">
        <v>2</v>
      </c>
      <c r="J236" t="s">
        <v>30</v>
      </c>
      <c r="K236">
        <v>4</v>
      </c>
      <c r="L236" t="s">
        <v>21</v>
      </c>
      <c r="M236" t="s">
        <v>21</v>
      </c>
      <c r="N236" s="29">
        <v>4.2</v>
      </c>
      <c r="O236" t="s">
        <v>22</v>
      </c>
    </row>
    <row r="237" spans="1:15" ht="14.25">
      <c r="A237" t="s">
        <v>271</v>
      </c>
      <c r="B237" s="2">
        <v>46248</v>
      </c>
      <c r="C237" t="s">
        <v>24</v>
      </c>
      <c r="D237" t="s">
        <v>19</v>
      </c>
      <c r="E237">
        <v>21</v>
      </c>
      <c r="F237" s="3">
        <v>910</v>
      </c>
      <c r="G237" s="4">
        <v>15</v>
      </c>
      <c r="H237">
        <v>3</v>
      </c>
      <c r="I237">
        <v>4</v>
      </c>
      <c r="J237" t="s">
        <v>26</v>
      </c>
      <c r="K237">
        <v>4</v>
      </c>
      <c r="L237" t="s">
        <v>21</v>
      </c>
      <c r="M237" t="s">
        <v>21</v>
      </c>
      <c r="N237" s="29">
        <v>2.9</v>
      </c>
      <c r="O237" t="s">
        <v>27</v>
      </c>
    </row>
    <row r="238" spans="1:15" ht="14.25">
      <c r="A238" t="s">
        <v>272</v>
      </c>
      <c r="B238" s="2">
        <v>46246</v>
      </c>
      <c r="C238" t="s">
        <v>24</v>
      </c>
      <c r="D238" t="s">
        <v>32</v>
      </c>
      <c r="E238">
        <v>36</v>
      </c>
      <c r="F238" s="3">
        <v>2508</v>
      </c>
      <c r="G238" s="4">
        <v>0</v>
      </c>
      <c r="H238">
        <v>3</v>
      </c>
      <c r="I238">
        <v>3</v>
      </c>
      <c r="J238" t="s">
        <v>39</v>
      </c>
      <c r="K238">
        <v>5</v>
      </c>
      <c r="L238" t="s">
        <v>21</v>
      </c>
      <c r="M238" t="s">
        <v>21</v>
      </c>
      <c r="N238" s="29">
        <v>23.9</v>
      </c>
      <c r="O238" t="s">
        <v>22</v>
      </c>
    </row>
    <row r="239" spans="1:15" ht="14.25">
      <c r="A239" t="s">
        <v>273</v>
      </c>
      <c r="B239" s="2">
        <v>46269</v>
      </c>
      <c r="C239" t="s">
        <v>35</v>
      </c>
      <c r="D239" t="s">
        <v>25</v>
      </c>
      <c r="E239">
        <v>41</v>
      </c>
      <c r="F239" s="3">
        <v>941</v>
      </c>
      <c r="G239" s="4">
        <v>15</v>
      </c>
      <c r="H239">
        <v>2</v>
      </c>
      <c r="I239">
        <v>3</v>
      </c>
      <c r="J239" t="s">
        <v>30</v>
      </c>
      <c r="K239">
        <v>3</v>
      </c>
      <c r="L239" t="s">
        <v>21</v>
      </c>
      <c r="M239" t="s">
        <v>21</v>
      </c>
      <c r="N239" s="29">
        <v>8.5</v>
      </c>
      <c r="O239" t="s">
        <v>27</v>
      </c>
    </row>
    <row r="240" spans="1:15" ht="14.25">
      <c r="A240" t="s">
        <v>274</v>
      </c>
      <c r="B240" s="2">
        <v>46265</v>
      </c>
      <c r="C240" t="s">
        <v>41</v>
      </c>
      <c r="D240" t="s">
        <v>38</v>
      </c>
      <c r="E240">
        <v>55</v>
      </c>
      <c r="F240" s="3">
        <v>2934</v>
      </c>
      <c r="G240" s="4">
        <v>5</v>
      </c>
      <c r="H240">
        <v>4</v>
      </c>
      <c r="I240">
        <v>5</v>
      </c>
      <c r="J240" t="s">
        <v>33</v>
      </c>
      <c r="K240">
        <v>4</v>
      </c>
      <c r="L240" t="s">
        <v>21</v>
      </c>
      <c r="M240" t="s">
        <v>21</v>
      </c>
      <c r="N240" s="29">
        <v>3.1</v>
      </c>
      <c r="O240" t="s">
        <v>27</v>
      </c>
    </row>
    <row r="241" spans="1:15" ht="14.25">
      <c r="A241" t="s">
        <v>275</v>
      </c>
      <c r="B241" s="2">
        <v>46248</v>
      </c>
      <c r="C241" t="s">
        <v>35</v>
      </c>
      <c r="D241" t="s">
        <v>19</v>
      </c>
      <c r="E241">
        <v>43</v>
      </c>
      <c r="F241" s="3">
        <v>1353</v>
      </c>
      <c r="G241" s="4">
        <v>20</v>
      </c>
      <c r="H241">
        <v>3</v>
      </c>
      <c r="I241">
        <v>4</v>
      </c>
      <c r="J241" t="s">
        <v>33</v>
      </c>
      <c r="K241">
        <v>3</v>
      </c>
      <c r="L241" t="s">
        <v>21</v>
      </c>
      <c r="M241" t="s">
        <v>21</v>
      </c>
      <c r="N241" s="29">
        <v>25.4</v>
      </c>
      <c r="O241" t="s">
        <v>59</v>
      </c>
    </row>
    <row r="242" spans="1:15" ht="14.25">
      <c r="A242" t="s">
        <v>276</v>
      </c>
      <c r="B242" s="2">
        <v>46240</v>
      </c>
      <c r="C242" t="s">
        <v>24</v>
      </c>
      <c r="D242" t="s">
        <v>36</v>
      </c>
      <c r="E242">
        <v>20</v>
      </c>
      <c r="F242" s="3">
        <v>982</v>
      </c>
      <c r="G242" s="4">
        <v>15</v>
      </c>
      <c r="H242">
        <v>2</v>
      </c>
      <c r="I242">
        <v>2</v>
      </c>
      <c r="J242" t="s">
        <v>26</v>
      </c>
      <c r="K242">
        <v>5</v>
      </c>
      <c r="L242" t="s">
        <v>21</v>
      </c>
      <c r="M242" t="s">
        <v>21</v>
      </c>
      <c r="N242" s="29">
        <v>27.7</v>
      </c>
      <c r="O242" t="s">
        <v>59</v>
      </c>
    </row>
    <row r="243" spans="1:15" ht="14.25">
      <c r="A243" t="s">
        <v>277</v>
      </c>
      <c r="B243" s="2">
        <v>46241</v>
      </c>
      <c r="C243" t="s">
        <v>41</v>
      </c>
      <c r="D243" t="s">
        <v>47</v>
      </c>
      <c r="E243">
        <v>43</v>
      </c>
      <c r="F243" s="3">
        <v>360</v>
      </c>
      <c r="G243" s="4">
        <v>20</v>
      </c>
      <c r="H243">
        <v>3</v>
      </c>
      <c r="I243">
        <v>6</v>
      </c>
      <c r="J243" t="s">
        <v>26</v>
      </c>
      <c r="K243">
        <v>2</v>
      </c>
      <c r="L243" t="s">
        <v>21</v>
      </c>
      <c r="M243" t="s">
        <v>21</v>
      </c>
      <c r="N243" s="29">
        <v>25.8</v>
      </c>
      <c r="O243" t="s">
        <v>22</v>
      </c>
    </row>
    <row r="244" spans="1:15" ht="14.25">
      <c r="A244" t="s">
        <v>278</v>
      </c>
      <c r="B244" s="2">
        <v>46260</v>
      </c>
      <c r="C244" t="s">
        <v>55</v>
      </c>
      <c r="D244" t="s">
        <v>38</v>
      </c>
      <c r="E244">
        <v>24</v>
      </c>
      <c r="F244" s="3">
        <v>1020</v>
      </c>
      <c r="G244" s="4">
        <v>10</v>
      </c>
      <c r="H244">
        <v>3</v>
      </c>
      <c r="I244">
        <v>3</v>
      </c>
      <c r="J244" t="s">
        <v>30</v>
      </c>
      <c r="K244">
        <v>4</v>
      </c>
      <c r="L244" t="s">
        <v>21</v>
      </c>
      <c r="M244" t="s">
        <v>21</v>
      </c>
      <c r="N244" s="29">
        <v>24.8</v>
      </c>
      <c r="O244" t="s">
        <v>27</v>
      </c>
    </row>
    <row r="245" spans="1:15" ht="14.25">
      <c r="A245" t="s">
        <v>279</v>
      </c>
      <c r="B245" s="2">
        <v>46266</v>
      </c>
      <c r="C245" t="s">
        <v>24</v>
      </c>
      <c r="D245" t="s">
        <v>47</v>
      </c>
      <c r="E245">
        <v>43</v>
      </c>
      <c r="F245" s="3">
        <v>3633</v>
      </c>
      <c r="G245" s="4">
        <v>10</v>
      </c>
      <c r="H245">
        <v>3</v>
      </c>
      <c r="I245">
        <v>3</v>
      </c>
      <c r="J245" t="s">
        <v>30</v>
      </c>
      <c r="K245">
        <v>5</v>
      </c>
      <c r="L245" t="s">
        <v>56</v>
      </c>
      <c r="M245" t="s">
        <v>21</v>
      </c>
      <c r="N245" s="29">
        <v>2.8</v>
      </c>
      <c r="O245" t="s">
        <v>27</v>
      </c>
    </row>
    <row r="246" spans="1:15" ht="14.25">
      <c r="A246" t="s">
        <v>280</v>
      </c>
      <c r="B246" s="2">
        <v>46261</v>
      </c>
      <c r="C246" t="s">
        <v>18</v>
      </c>
      <c r="D246" t="s">
        <v>38</v>
      </c>
      <c r="E246">
        <v>32</v>
      </c>
      <c r="F246" s="3">
        <v>5466</v>
      </c>
      <c r="G246" s="4">
        <v>5</v>
      </c>
      <c r="H246">
        <v>3</v>
      </c>
      <c r="I246">
        <v>3</v>
      </c>
      <c r="J246" t="s">
        <v>33</v>
      </c>
      <c r="K246">
        <v>4</v>
      </c>
      <c r="L246" t="s">
        <v>21</v>
      </c>
      <c r="M246" t="s">
        <v>21</v>
      </c>
      <c r="N246" s="29">
        <v>27.3</v>
      </c>
      <c r="O246" t="s">
        <v>27</v>
      </c>
    </row>
    <row r="247" spans="1:15" ht="14.25">
      <c r="A247" t="s">
        <v>281</v>
      </c>
      <c r="B247" s="2">
        <v>46247</v>
      </c>
      <c r="C247" t="s">
        <v>41</v>
      </c>
      <c r="D247" t="s">
        <v>38</v>
      </c>
      <c r="E247">
        <v>51</v>
      </c>
      <c r="F247" s="3">
        <v>4094</v>
      </c>
      <c r="G247" s="4">
        <v>20</v>
      </c>
      <c r="H247">
        <v>3</v>
      </c>
      <c r="I247">
        <v>3</v>
      </c>
      <c r="J247" t="s">
        <v>33</v>
      </c>
      <c r="K247">
        <v>4</v>
      </c>
      <c r="L247" t="s">
        <v>21</v>
      </c>
      <c r="M247" t="s">
        <v>21</v>
      </c>
      <c r="N247" s="29">
        <v>3.2</v>
      </c>
      <c r="O247" t="s">
        <v>27</v>
      </c>
    </row>
    <row r="248" spans="1:15" ht="14.25">
      <c r="A248" t="s">
        <v>282</v>
      </c>
      <c r="B248" s="2">
        <v>46250</v>
      </c>
      <c r="C248" t="s">
        <v>18</v>
      </c>
      <c r="D248" t="s">
        <v>36</v>
      </c>
      <c r="E248">
        <v>20</v>
      </c>
      <c r="F248" s="3">
        <v>763</v>
      </c>
      <c r="G248" s="4">
        <v>15</v>
      </c>
      <c r="H248">
        <v>2</v>
      </c>
      <c r="I248">
        <v>2</v>
      </c>
      <c r="J248" t="s">
        <v>26</v>
      </c>
      <c r="K248">
        <v>4</v>
      </c>
      <c r="L248" t="s">
        <v>21</v>
      </c>
      <c r="M248" t="s">
        <v>21</v>
      </c>
      <c r="N248" s="29">
        <v>25.8</v>
      </c>
      <c r="O248" t="s">
        <v>59</v>
      </c>
    </row>
    <row r="249" spans="1:15" ht="14.25">
      <c r="A249" t="s">
        <v>283</v>
      </c>
      <c r="B249" s="2">
        <v>46271</v>
      </c>
      <c r="C249" t="s">
        <v>35</v>
      </c>
      <c r="D249" t="s">
        <v>25</v>
      </c>
      <c r="E249">
        <v>46</v>
      </c>
      <c r="F249" s="3">
        <v>1210</v>
      </c>
      <c r="G249" s="4">
        <v>20</v>
      </c>
      <c r="H249">
        <v>3</v>
      </c>
      <c r="I249">
        <v>5</v>
      </c>
      <c r="J249" t="s">
        <v>33</v>
      </c>
      <c r="K249">
        <v>3</v>
      </c>
      <c r="L249" t="s">
        <v>21</v>
      </c>
      <c r="M249" t="s">
        <v>21</v>
      </c>
      <c r="N249" s="29">
        <v>10.8</v>
      </c>
      <c r="O249" t="s">
        <v>27</v>
      </c>
    </row>
    <row r="250" spans="1:15" ht="14.25">
      <c r="A250" t="s">
        <v>284</v>
      </c>
      <c r="B250" s="2">
        <v>46243</v>
      </c>
      <c r="C250" t="s">
        <v>24</v>
      </c>
      <c r="D250" t="s">
        <v>38</v>
      </c>
      <c r="E250">
        <v>32</v>
      </c>
      <c r="F250" s="3">
        <v>3434</v>
      </c>
      <c r="G250" s="4">
        <v>25</v>
      </c>
      <c r="H250">
        <v>3</v>
      </c>
      <c r="I250">
        <v>3</v>
      </c>
      <c r="J250" t="s">
        <v>39</v>
      </c>
      <c r="K250">
        <v>5</v>
      </c>
      <c r="L250" t="s">
        <v>21</v>
      </c>
      <c r="M250" t="s">
        <v>21</v>
      </c>
      <c r="N250" s="29">
        <v>19.5</v>
      </c>
      <c r="O250" t="s">
        <v>22</v>
      </c>
    </row>
    <row r="251" spans="1:15" ht="14.25">
      <c r="A251" t="s">
        <v>285</v>
      </c>
      <c r="B251" s="2">
        <v>46260</v>
      </c>
      <c r="C251" t="s">
        <v>24</v>
      </c>
      <c r="D251" t="s">
        <v>47</v>
      </c>
      <c r="E251">
        <v>18</v>
      </c>
      <c r="F251" s="3">
        <v>2002</v>
      </c>
      <c r="G251" s="4">
        <v>10</v>
      </c>
      <c r="H251">
        <v>3</v>
      </c>
      <c r="I251">
        <v>3</v>
      </c>
      <c r="J251" t="s">
        <v>20</v>
      </c>
      <c r="K251">
        <v>4</v>
      </c>
      <c r="L251" t="s">
        <v>21</v>
      </c>
      <c r="M251" t="s">
        <v>21</v>
      </c>
      <c r="N251" s="29">
        <v>12.7</v>
      </c>
      <c r="O251" t="s">
        <v>22</v>
      </c>
    </row>
    <row r="252" spans="1:15" ht="14.25">
      <c r="A252" t="s">
        <v>286</v>
      </c>
      <c r="B252" s="2">
        <v>46252</v>
      </c>
      <c r="C252" t="s">
        <v>55</v>
      </c>
      <c r="D252" t="s">
        <v>19</v>
      </c>
      <c r="E252">
        <v>18</v>
      </c>
      <c r="F252" s="3">
        <v>2210</v>
      </c>
      <c r="G252" s="4">
        <v>20</v>
      </c>
      <c r="H252">
        <v>2</v>
      </c>
      <c r="I252">
        <v>2</v>
      </c>
      <c r="J252" t="s">
        <v>30</v>
      </c>
      <c r="K252">
        <v>4</v>
      </c>
      <c r="L252" t="s">
        <v>21</v>
      </c>
      <c r="M252" t="s">
        <v>21</v>
      </c>
      <c r="N252" s="29">
        <v>16.399999999999999</v>
      </c>
      <c r="O252" t="s">
        <v>59</v>
      </c>
    </row>
    <row r="253" spans="1:15" ht="14.25">
      <c r="A253" t="s">
        <v>287</v>
      </c>
      <c r="B253" s="2">
        <v>46253</v>
      </c>
      <c r="C253" t="s">
        <v>35</v>
      </c>
      <c r="D253" t="s">
        <v>32</v>
      </c>
      <c r="E253">
        <v>37</v>
      </c>
      <c r="F253" s="3">
        <v>1059</v>
      </c>
      <c r="G253" s="4">
        <v>5</v>
      </c>
      <c r="H253">
        <v>1</v>
      </c>
      <c r="I253">
        <v>2</v>
      </c>
      <c r="J253" t="s">
        <v>39</v>
      </c>
      <c r="K253">
        <v>4</v>
      </c>
      <c r="L253" t="s">
        <v>21</v>
      </c>
      <c r="M253" t="s">
        <v>21</v>
      </c>
      <c r="N253" s="29">
        <v>22.8</v>
      </c>
      <c r="O253" t="s">
        <v>27</v>
      </c>
    </row>
    <row r="254" spans="1:15" ht="14.25">
      <c r="A254" t="s">
        <v>288</v>
      </c>
      <c r="B254" s="2">
        <v>46277</v>
      </c>
      <c r="C254" t="s">
        <v>35</v>
      </c>
      <c r="D254" t="s">
        <v>25</v>
      </c>
      <c r="E254">
        <v>43</v>
      </c>
      <c r="F254" s="3">
        <v>1291</v>
      </c>
      <c r="G254" s="4">
        <v>15</v>
      </c>
      <c r="H254">
        <v>1</v>
      </c>
      <c r="I254">
        <v>1</v>
      </c>
      <c r="J254" t="s">
        <v>39</v>
      </c>
      <c r="K254">
        <v>4</v>
      </c>
      <c r="L254" t="s">
        <v>21</v>
      </c>
      <c r="M254" t="s">
        <v>21</v>
      </c>
      <c r="N254" s="29">
        <v>17</v>
      </c>
      <c r="O254" t="s">
        <v>22</v>
      </c>
    </row>
    <row r="255" spans="1:15" ht="14.25">
      <c r="A255" t="s">
        <v>289</v>
      </c>
      <c r="B255" s="2">
        <v>46276</v>
      </c>
      <c r="C255" t="s">
        <v>35</v>
      </c>
      <c r="D255" t="s">
        <v>47</v>
      </c>
      <c r="E255">
        <v>37</v>
      </c>
      <c r="F255" s="3">
        <v>1278</v>
      </c>
      <c r="G255" s="4">
        <v>20</v>
      </c>
      <c r="H255">
        <v>2</v>
      </c>
      <c r="I255">
        <v>2</v>
      </c>
      <c r="J255" t="s">
        <v>30</v>
      </c>
      <c r="K255">
        <v>5</v>
      </c>
      <c r="L255" t="s">
        <v>21</v>
      </c>
      <c r="M255" t="s">
        <v>21</v>
      </c>
      <c r="N255" s="29">
        <v>9.3000000000000007</v>
      </c>
      <c r="O255" t="s">
        <v>59</v>
      </c>
    </row>
    <row r="256" spans="1:15" ht="14.25">
      <c r="A256" t="s">
        <v>290</v>
      </c>
      <c r="B256" s="2">
        <v>46272</v>
      </c>
      <c r="C256" t="s">
        <v>18</v>
      </c>
      <c r="D256" t="s">
        <v>36</v>
      </c>
      <c r="E256">
        <v>40</v>
      </c>
      <c r="F256" s="3">
        <v>250</v>
      </c>
      <c r="G256" s="4">
        <v>5</v>
      </c>
      <c r="H256">
        <v>3</v>
      </c>
      <c r="I256">
        <v>3</v>
      </c>
      <c r="J256" t="s">
        <v>20</v>
      </c>
      <c r="K256">
        <v>4</v>
      </c>
      <c r="L256" t="s">
        <v>21</v>
      </c>
      <c r="M256" t="s">
        <v>21</v>
      </c>
      <c r="N256" s="29">
        <v>12.6</v>
      </c>
      <c r="O256" t="s">
        <v>27</v>
      </c>
    </row>
    <row r="257" spans="1:15" ht="14.25">
      <c r="A257" t="s">
        <v>291</v>
      </c>
      <c r="B257" s="2">
        <v>46244</v>
      </c>
      <c r="C257" t="s">
        <v>55</v>
      </c>
      <c r="D257" t="s">
        <v>19</v>
      </c>
      <c r="E257">
        <v>48</v>
      </c>
      <c r="F257" s="3">
        <v>1943</v>
      </c>
      <c r="G257" s="4">
        <v>25</v>
      </c>
      <c r="H257">
        <v>2</v>
      </c>
      <c r="I257">
        <v>2</v>
      </c>
      <c r="J257" t="s">
        <v>39</v>
      </c>
      <c r="K257">
        <v>4</v>
      </c>
      <c r="L257" t="s">
        <v>21</v>
      </c>
      <c r="M257" t="s">
        <v>21</v>
      </c>
      <c r="N257" s="29">
        <v>15.5</v>
      </c>
      <c r="O257" t="s">
        <v>22</v>
      </c>
    </row>
    <row r="258" spans="1:15" ht="14.25">
      <c r="A258" t="s">
        <v>292</v>
      </c>
      <c r="B258" s="2">
        <v>46271</v>
      </c>
      <c r="C258" t="s">
        <v>35</v>
      </c>
      <c r="D258" t="s">
        <v>38</v>
      </c>
      <c r="E258">
        <v>29</v>
      </c>
      <c r="F258" s="3">
        <v>635</v>
      </c>
      <c r="G258" s="4">
        <v>0</v>
      </c>
      <c r="H258">
        <v>2</v>
      </c>
      <c r="I258">
        <v>2</v>
      </c>
      <c r="J258" t="s">
        <v>33</v>
      </c>
      <c r="K258">
        <v>5</v>
      </c>
      <c r="L258" t="s">
        <v>56</v>
      </c>
      <c r="M258" t="s">
        <v>21</v>
      </c>
      <c r="N258" s="29">
        <v>10.3</v>
      </c>
      <c r="O258" t="s">
        <v>22</v>
      </c>
    </row>
    <row r="259" spans="1:15" ht="14.25">
      <c r="A259" t="s">
        <v>293</v>
      </c>
      <c r="B259" s="2">
        <v>46283</v>
      </c>
      <c r="C259" t="s">
        <v>24</v>
      </c>
      <c r="D259" t="s">
        <v>25</v>
      </c>
      <c r="E259">
        <v>23</v>
      </c>
      <c r="F259" s="3">
        <v>2459</v>
      </c>
      <c r="G259" s="4">
        <v>15</v>
      </c>
      <c r="H259">
        <v>3</v>
      </c>
      <c r="I259">
        <v>2</v>
      </c>
      <c r="J259" t="s">
        <v>30</v>
      </c>
      <c r="K259">
        <v>4</v>
      </c>
      <c r="L259" t="s">
        <v>21</v>
      </c>
      <c r="M259" t="s">
        <v>21</v>
      </c>
      <c r="N259" s="29">
        <v>12.9</v>
      </c>
      <c r="O259" t="s">
        <v>27</v>
      </c>
    </row>
    <row r="260" spans="1:15" ht="14.25">
      <c r="A260" t="s">
        <v>294</v>
      </c>
      <c r="B260" s="2">
        <v>46237</v>
      </c>
      <c r="C260" t="s">
        <v>55</v>
      </c>
      <c r="D260" t="s">
        <v>36</v>
      </c>
      <c r="E260">
        <v>19</v>
      </c>
      <c r="F260" s="3">
        <v>1864</v>
      </c>
      <c r="G260" s="4">
        <v>25</v>
      </c>
      <c r="H260">
        <v>1</v>
      </c>
      <c r="I260">
        <v>1</v>
      </c>
      <c r="J260" t="s">
        <v>26</v>
      </c>
      <c r="K260">
        <v>4</v>
      </c>
      <c r="L260" t="s">
        <v>21</v>
      </c>
      <c r="M260" t="s">
        <v>21</v>
      </c>
      <c r="N260" s="29">
        <v>18.100000000000001</v>
      </c>
      <c r="O260" t="s">
        <v>27</v>
      </c>
    </row>
    <row r="261" spans="1:15" ht="14.25">
      <c r="A261" t="s">
        <v>295</v>
      </c>
      <c r="B261" s="2">
        <v>46236</v>
      </c>
      <c r="C261" t="s">
        <v>35</v>
      </c>
      <c r="D261" t="s">
        <v>29</v>
      </c>
      <c r="E261">
        <v>47</v>
      </c>
      <c r="F261" s="3">
        <v>834</v>
      </c>
      <c r="G261" s="4">
        <v>10</v>
      </c>
      <c r="H261">
        <v>2</v>
      </c>
      <c r="I261">
        <v>2</v>
      </c>
      <c r="J261" t="s">
        <v>39</v>
      </c>
      <c r="K261">
        <v>5</v>
      </c>
      <c r="L261" t="s">
        <v>21</v>
      </c>
      <c r="M261" t="s">
        <v>21</v>
      </c>
      <c r="N261" s="29">
        <v>25</v>
      </c>
      <c r="O261" t="s">
        <v>27</v>
      </c>
    </row>
    <row r="262" spans="1:15" ht="14.25">
      <c r="A262" t="s">
        <v>296</v>
      </c>
      <c r="B262" s="2">
        <v>46274</v>
      </c>
      <c r="C262" t="s">
        <v>24</v>
      </c>
      <c r="D262" t="s">
        <v>36</v>
      </c>
      <c r="E262">
        <v>26</v>
      </c>
      <c r="F262" s="3">
        <v>599</v>
      </c>
      <c r="G262" s="4">
        <v>5</v>
      </c>
      <c r="H262">
        <v>2</v>
      </c>
      <c r="I262">
        <v>4</v>
      </c>
      <c r="J262" t="s">
        <v>20</v>
      </c>
      <c r="K262">
        <v>3</v>
      </c>
      <c r="L262" t="s">
        <v>21</v>
      </c>
      <c r="M262" t="s">
        <v>21</v>
      </c>
      <c r="N262" s="29">
        <v>17.100000000000001</v>
      </c>
      <c r="O262" t="s">
        <v>22</v>
      </c>
    </row>
    <row r="263" spans="1:15" ht="14.25">
      <c r="A263" t="s">
        <v>297</v>
      </c>
      <c r="B263" s="2">
        <v>46254</v>
      </c>
      <c r="C263" t="s">
        <v>18</v>
      </c>
      <c r="D263" t="s">
        <v>47</v>
      </c>
      <c r="E263">
        <v>21</v>
      </c>
      <c r="F263" s="3">
        <v>2287</v>
      </c>
      <c r="G263" s="4">
        <v>0</v>
      </c>
      <c r="H263">
        <v>2</v>
      </c>
      <c r="I263">
        <v>2</v>
      </c>
      <c r="J263" t="s">
        <v>26</v>
      </c>
      <c r="K263">
        <v>4</v>
      </c>
      <c r="L263" t="s">
        <v>21</v>
      </c>
      <c r="M263" t="s">
        <v>21</v>
      </c>
      <c r="N263" s="29">
        <v>19.8</v>
      </c>
      <c r="O263" t="s">
        <v>27</v>
      </c>
    </row>
    <row r="264" spans="1:15" ht="14.25">
      <c r="A264" t="s">
        <v>298</v>
      </c>
      <c r="B264" s="2">
        <v>46242</v>
      </c>
      <c r="C264" t="s">
        <v>41</v>
      </c>
      <c r="D264" t="s">
        <v>32</v>
      </c>
      <c r="E264">
        <v>24</v>
      </c>
      <c r="F264" s="3">
        <v>1113</v>
      </c>
      <c r="G264" s="4">
        <v>25</v>
      </c>
      <c r="H264">
        <v>4</v>
      </c>
      <c r="I264">
        <v>4</v>
      </c>
      <c r="J264" t="s">
        <v>30</v>
      </c>
      <c r="K264">
        <v>4</v>
      </c>
      <c r="L264" t="s">
        <v>21</v>
      </c>
      <c r="M264" t="s">
        <v>21</v>
      </c>
      <c r="N264" s="29">
        <v>8.6999999999999993</v>
      </c>
      <c r="O264" t="s">
        <v>22</v>
      </c>
    </row>
    <row r="265" spans="1:15" ht="14.25">
      <c r="A265" t="s">
        <v>299</v>
      </c>
      <c r="B265" s="2">
        <v>46250</v>
      </c>
      <c r="C265" t="s">
        <v>18</v>
      </c>
      <c r="D265" t="s">
        <v>25</v>
      </c>
      <c r="E265">
        <v>30</v>
      </c>
      <c r="F265" s="3">
        <v>840</v>
      </c>
      <c r="G265" s="4">
        <v>20</v>
      </c>
      <c r="H265">
        <v>3</v>
      </c>
      <c r="I265">
        <v>3</v>
      </c>
      <c r="J265" t="s">
        <v>30</v>
      </c>
      <c r="K265">
        <v>4</v>
      </c>
      <c r="L265" t="s">
        <v>21</v>
      </c>
      <c r="M265" t="s">
        <v>21</v>
      </c>
      <c r="N265" s="29">
        <v>11</v>
      </c>
      <c r="O265" t="s">
        <v>59</v>
      </c>
    </row>
    <row r="266" spans="1:15" ht="14.25">
      <c r="A266" t="s">
        <v>300</v>
      </c>
      <c r="B266" s="2">
        <v>46264</v>
      </c>
      <c r="C266" t="s">
        <v>18</v>
      </c>
      <c r="D266" t="s">
        <v>19</v>
      </c>
      <c r="E266">
        <v>23</v>
      </c>
      <c r="F266" s="3">
        <v>1456</v>
      </c>
      <c r="G266" s="4">
        <v>0</v>
      </c>
      <c r="H266">
        <v>4</v>
      </c>
      <c r="I266">
        <v>5</v>
      </c>
      <c r="J266" t="s">
        <v>33</v>
      </c>
      <c r="K266">
        <v>4</v>
      </c>
      <c r="L266" t="s">
        <v>21</v>
      </c>
      <c r="M266" t="s">
        <v>21</v>
      </c>
      <c r="N266" s="29">
        <v>19.2</v>
      </c>
      <c r="O266" t="s">
        <v>59</v>
      </c>
    </row>
    <row r="267" spans="1:15" ht="14.25">
      <c r="A267" t="s">
        <v>301</v>
      </c>
      <c r="B267" s="2">
        <v>46277</v>
      </c>
      <c r="C267" t="s">
        <v>35</v>
      </c>
      <c r="D267" t="s">
        <v>29</v>
      </c>
      <c r="E267">
        <v>47</v>
      </c>
      <c r="F267" s="3">
        <v>1509</v>
      </c>
      <c r="G267" s="4">
        <v>0</v>
      </c>
      <c r="H267">
        <v>2</v>
      </c>
      <c r="I267">
        <v>2</v>
      </c>
      <c r="J267" t="s">
        <v>33</v>
      </c>
      <c r="K267">
        <v>5</v>
      </c>
      <c r="L267" t="s">
        <v>21</v>
      </c>
      <c r="M267" t="s">
        <v>21</v>
      </c>
      <c r="N267" s="29">
        <v>11</v>
      </c>
      <c r="O267" t="s">
        <v>27</v>
      </c>
    </row>
    <row r="268" spans="1:15" ht="14.25">
      <c r="A268" t="s">
        <v>302</v>
      </c>
      <c r="B268" s="2">
        <v>46259</v>
      </c>
      <c r="C268" t="s">
        <v>24</v>
      </c>
      <c r="D268" t="s">
        <v>29</v>
      </c>
      <c r="E268">
        <v>40</v>
      </c>
      <c r="F268" s="3">
        <v>2310</v>
      </c>
      <c r="G268" s="4">
        <v>15</v>
      </c>
      <c r="H268">
        <v>4</v>
      </c>
      <c r="I268">
        <v>4</v>
      </c>
      <c r="J268" t="s">
        <v>30</v>
      </c>
      <c r="K268">
        <v>5</v>
      </c>
      <c r="L268" t="s">
        <v>21</v>
      </c>
      <c r="M268" t="s">
        <v>21</v>
      </c>
      <c r="N268" s="29">
        <v>8.6</v>
      </c>
      <c r="O268" t="s">
        <v>59</v>
      </c>
    </row>
    <row r="269" spans="1:15" ht="14.25">
      <c r="A269" t="s">
        <v>303</v>
      </c>
      <c r="B269" s="2">
        <v>46246</v>
      </c>
      <c r="C269" t="s">
        <v>41</v>
      </c>
      <c r="D269" t="s">
        <v>38</v>
      </c>
      <c r="E269">
        <v>44</v>
      </c>
      <c r="F269" s="3">
        <v>1328</v>
      </c>
      <c r="G269" s="4">
        <v>0</v>
      </c>
      <c r="H269">
        <v>3</v>
      </c>
      <c r="I269">
        <v>4</v>
      </c>
      <c r="J269" t="s">
        <v>39</v>
      </c>
      <c r="K269">
        <v>3</v>
      </c>
      <c r="L269" t="s">
        <v>21</v>
      </c>
      <c r="M269" t="s">
        <v>21</v>
      </c>
      <c r="N269" s="29">
        <v>19.899999999999999</v>
      </c>
      <c r="O269" t="s">
        <v>22</v>
      </c>
    </row>
    <row r="270" spans="1:15" ht="14.25">
      <c r="A270" t="s">
        <v>304</v>
      </c>
      <c r="B270" s="2">
        <v>46251</v>
      </c>
      <c r="C270" t="s">
        <v>55</v>
      </c>
      <c r="D270" t="s">
        <v>25</v>
      </c>
      <c r="E270">
        <v>40</v>
      </c>
      <c r="F270" s="3">
        <v>537</v>
      </c>
      <c r="G270" s="4">
        <v>20</v>
      </c>
      <c r="H270">
        <v>1</v>
      </c>
      <c r="I270">
        <v>1</v>
      </c>
      <c r="J270" t="s">
        <v>26</v>
      </c>
      <c r="K270">
        <v>5</v>
      </c>
      <c r="L270" t="s">
        <v>21</v>
      </c>
      <c r="M270" t="s">
        <v>21</v>
      </c>
      <c r="N270" s="29">
        <v>24.4</v>
      </c>
      <c r="O270" t="s">
        <v>27</v>
      </c>
    </row>
    <row r="271" spans="1:15" ht="14.25">
      <c r="A271" t="s">
        <v>305</v>
      </c>
      <c r="B271" s="2">
        <v>46265</v>
      </c>
      <c r="C271" t="s">
        <v>35</v>
      </c>
      <c r="D271" t="s">
        <v>19</v>
      </c>
      <c r="E271">
        <v>51</v>
      </c>
      <c r="F271" s="3">
        <v>950</v>
      </c>
      <c r="G271" s="4">
        <v>20</v>
      </c>
      <c r="H271">
        <v>2</v>
      </c>
      <c r="I271">
        <v>2</v>
      </c>
      <c r="J271" t="s">
        <v>33</v>
      </c>
      <c r="K271">
        <v>5</v>
      </c>
      <c r="L271" t="s">
        <v>21</v>
      </c>
      <c r="M271" t="s">
        <v>21</v>
      </c>
      <c r="N271" s="29">
        <v>27.4</v>
      </c>
      <c r="O271" t="s">
        <v>27</v>
      </c>
    </row>
    <row r="272" spans="1:15" ht="14.25">
      <c r="A272" t="s">
        <v>306</v>
      </c>
      <c r="B272" s="2">
        <v>46239</v>
      </c>
      <c r="C272" t="s">
        <v>35</v>
      </c>
      <c r="D272" t="s">
        <v>32</v>
      </c>
      <c r="E272">
        <v>42</v>
      </c>
      <c r="F272" s="3">
        <v>443</v>
      </c>
      <c r="G272" s="4">
        <v>5</v>
      </c>
      <c r="H272">
        <v>3</v>
      </c>
      <c r="I272">
        <v>2</v>
      </c>
      <c r="J272" t="s">
        <v>33</v>
      </c>
      <c r="K272">
        <v>5</v>
      </c>
      <c r="L272" t="s">
        <v>21</v>
      </c>
      <c r="M272" t="s">
        <v>21</v>
      </c>
      <c r="N272" s="29">
        <v>25.1</v>
      </c>
      <c r="O272" t="s">
        <v>22</v>
      </c>
    </row>
    <row r="273" spans="1:15" ht="14.25">
      <c r="A273" t="s">
        <v>307</v>
      </c>
      <c r="B273" s="2">
        <v>46263</v>
      </c>
      <c r="C273" t="s">
        <v>41</v>
      </c>
      <c r="D273" t="s">
        <v>29</v>
      </c>
      <c r="E273">
        <v>33</v>
      </c>
      <c r="F273" s="3">
        <v>2128</v>
      </c>
      <c r="G273" s="4">
        <v>20</v>
      </c>
      <c r="H273">
        <v>3</v>
      </c>
      <c r="I273">
        <v>3</v>
      </c>
      <c r="J273" t="s">
        <v>39</v>
      </c>
      <c r="K273">
        <v>4</v>
      </c>
      <c r="L273" t="s">
        <v>21</v>
      </c>
      <c r="M273" t="s">
        <v>21</v>
      </c>
      <c r="N273" s="29">
        <v>16.100000000000001</v>
      </c>
      <c r="O273" t="s">
        <v>27</v>
      </c>
    </row>
    <row r="274" spans="1:15" ht="14.25">
      <c r="A274" t="s">
        <v>308</v>
      </c>
      <c r="B274" s="2">
        <v>46267</v>
      </c>
      <c r="C274" t="s">
        <v>35</v>
      </c>
      <c r="D274" t="s">
        <v>19</v>
      </c>
      <c r="E274">
        <v>49</v>
      </c>
      <c r="F274" s="3">
        <v>1146</v>
      </c>
      <c r="G274" s="4">
        <v>25</v>
      </c>
      <c r="H274">
        <v>1</v>
      </c>
      <c r="I274">
        <v>2</v>
      </c>
      <c r="J274" t="s">
        <v>30</v>
      </c>
      <c r="K274">
        <v>4</v>
      </c>
      <c r="L274" t="s">
        <v>21</v>
      </c>
      <c r="M274" t="s">
        <v>21</v>
      </c>
      <c r="N274" s="29">
        <v>4.2</v>
      </c>
      <c r="O274" t="s">
        <v>59</v>
      </c>
    </row>
    <row r="275" spans="1:15" ht="14.25">
      <c r="A275" t="s">
        <v>309</v>
      </c>
      <c r="B275" s="2">
        <v>46283</v>
      </c>
      <c r="C275" t="s">
        <v>55</v>
      </c>
      <c r="D275" t="s">
        <v>36</v>
      </c>
      <c r="E275">
        <v>47</v>
      </c>
      <c r="F275" s="3">
        <v>1942</v>
      </c>
      <c r="G275" s="4">
        <v>0</v>
      </c>
      <c r="H275">
        <v>2</v>
      </c>
      <c r="I275">
        <v>3</v>
      </c>
      <c r="J275" t="s">
        <v>26</v>
      </c>
      <c r="K275">
        <v>4</v>
      </c>
      <c r="L275" t="s">
        <v>21</v>
      </c>
      <c r="M275" t="s">
        <v>21</v>
      </c>
      <c r="N275" s="29">
        <v>23.9</v>
      </c>
      <c r="O275" t="s">
        <v>27</v>
      </c>
    </row>
    <row r="276" spans="1:15" ht="14.25">
      <c r="A276" t="s">
        <v>310</v>
      </c>
      <c r="B276" s="2">
        <v>46241</v>
      </c>
      <c r="C276" t="s">
        <v>24</v>
      </c>
      <c r="D276" t="s">
        <v>19</v>
      </c>
      <c r="E276">
        <v>39</v>
      </c>
      <c r="F276" s="3">
        <v>1537</v>
      </c>
      <c r="G276" s="4">
        <v>10</v>
      </c>
      <c r="H276">
        <v>3</v>
      </c>
      <c r="I276">
        <v>2</v>
      </c>
      <c r="J276" t="s">
        <v>39</v>
      </c>
      <c r="K276">
        <v>4</v>
      </c>
      <c r="L276" t="s">
        <v>21</v>
      </c>
      <c r="M276" t="s">
        <v>21</v>
      </c>
      <c r="N276" s="29">
        <v>16</v>
      </c>
      <c r="O276" t="s">
        <v>22</v>
      </c>
    </row>
    <row r="277" spans="1:15" ht="14.25">
      <c r="A277" t="s">
        <v>311</v>
      </c>
      <c r="B277" s="2">
        <v>46242</v>
      </c>
      <c r="C277" t="s">
        <v>35</v>
      </c>
      <c r="D277" t="s">
        <v>47</v>
      </c>
      <c r="E277">
        <v>30</v>
      </c>
      <c r="F277" s="3">
        <v>1208</v>
      </c>
      <c r="G277" s="4">
        <v>15</v>
      </c>
      <c r="H277">
        <v>2</v>
      </c>
      <c r="I277">
        <v>2</v>
      </c>
      <c r="J277" t="s">
        <v>20</v>
      </c>
      <c r="K277">
        <v>4</v>
      </c>
      <c r="L277" t="s">
        <v>21</v>
      </c>
      <c r="M277" t="s">
        <v>21</v>
      </c>
      <c r="N277" s="29">
        <v>13.6</v>
      </c>
      <c r="O277" t="s">
        <v>22</v>
      </c>
    </row>
    <row r="278" spans="1:15" ht="14.25">
      <c r="A278" t="s">
        <v>312</v>
      </c>
      <c r="B278" s="2">
        <v>46279</v>
      </c>
      <c r="C278" t="s">
        <v>41</v>
      </c>
      <c r="D278" t="s">
        <v>25</v>
      </c>
      <c r="E278">
        <v>55</v>
      </c>
      <c r="F278" s="3">
        <v>5158</v>
      </c>
      <c r="G278" s="4">
        <v>20</v>
      </c>
      <c r="H278">
        <v>3</v>
      </c>
      <c r="I278">
        <v>4</v>
      </c>
      <c r="J278" t="s">
        <v>33</v>
      </c>
      <c r="K278">
        <v>4</v>
      </c>
      <c r="L278" t="s">
        <v>21</v>
      </c>
      <c r="M278" t="s">
        <v>21</v>
      </c>
      <c r="N278" s="29">
        <v>27</v>
      </c>
      <c r="O278" t="s">
        <v>59</v>
      </c>
    </row>
    <row r="279" spans="1:15" ht="14.25">
      <c r="A279" t="s">
        <v>313</v>
      </c>
      <c r="B279" s="2">
        <v>46263</v>
      </c>
      <c r="C279" t="s">
        <v>55</v>
      </c>
      <c r="D279" t="s">
        <v>36</v>
      </c>
      <c r="E279">
        <v>26</v>
      </c>
      <c r="F279" s="3">
        <v>2098</v>
      </c>
      <c r="G279" s="4">
        <v>20</v>
      </c>
      <c r="H279">
        <v>2</v>
      </c>
      <c r="I279">
        <v>3</v>
      </c>
      <c r="J279" t="s">
        <v>30</v>
      </c>
      <c r="K279">
        <v>4</v>
      </c>
      <c r="L279" t="s">
        <v>21</v>
      </c>
      <c r="M279" t="s">
        <v>21</v>
      </c>
      <c r="N279" s="29">
        <v>14.9</v>
      </c>
      <c r="O279" t="s">
        <v>59</v>
      </c>
    </row>
    <row r="280" spans="1:15" ht="14.25">
      <c r="A280" t="s">
        <v>314</v>
      </c>
      <c r="B280" s="2">
        <v>46280</v>
      </c>
      <c r="C280" t="s">
        <v>24</v>
      </c>
      <c r="D280" t="s">
        <v>36</v>
      </c>
      <c r="E280">
        <v>44</v>
      </c>
      <c r="F280" s="3">
        <v>2598</v>
      </c>
      <c r="G280" s="4">
        <v>20</v>
      </c>
      <c r="H280">
        <v>4</v>
      </c>
      <c r="I280">
        <v>4</v>
      </c>
      <c r="J280" t="s">
        <v>20</v>
      </c>
      <c r="K280">
        <v>5</v>
      </c>
      <c r="L280" t="s">
        <v>21</v>
      </c>
      <c r="M280" t="s">
        <v>21</v>
      </c>
      <c r="N280" s="29">
        <v>9.4</v>
      </c>
      <c r="O280" t="s">
        <v>27</v>
      </c>
    </row>
    <row r="281" spans="1:15" ht="14.25">
      <c r="A281" t="s">
        <v>315</v>
      </c>
      <c r="B281" s="2">
        <v>46278</v>
      </c>
      <c r="C281" t="s">
        <v>35</v>
      </c>
      <c r="D281" t="s">
        <v>32</v>
      </c>
      <c r="E281">
        <v>40</v>
      </c>
      <c r="F281" s="3">
        <v>1064</v>
      </c>
      <c r="G281" s="4">
        <v>25</v>
      </c>
      <c r="H281">
        <v>2</v>
      </c>
      <c r="I281">
        <v>2</v>
      </c>
      <c r="J281" t="s">
        <v>39</v>
      </c>
      <c r="K281">
        <v>5</v>
      </c>
      <c r="L281" t="s">
        <v>21</v>
      </c>
      <c r="M281" t="s">
        <v>21</v>
      </c>
      <c r="N281" s="29">
        <v>14.9</v>
      </c>
      <c r="O281" t="s">
        <v>22</v>
      </c>
    </row>
    <row r="282" spans="1:15" ht="14.25">
      <c r="A282" t="s">
        <v>316</v>
      </c>
      <c r="B282" s="2">
        <v>46278</v>
      </c>
      <c r="C282" t="s">
        <v>55</v>
      </c>
      <c r="D282" t="s">
        <v>29</v>
      </c>
      <c r="E282">
        <v>45</v>
      </c>
      <c r="F282" s="3">
        <v>1247</v>
      </c>
      <c r="G282" s="4">
        <v>0</v>
      </c>
      <c r="H282">
        <v>3</v>
      </c>
      <c r="I282">
        <v>2</v>
      </c>
      <c r="J282" t="s">
        <v>30</v>
      </c>
      <c r="K282">
        <v>5</v>
      </c>
      <c r="L282" t="s">
        <v>21</v>
      </c>
      <c r="M282" t="s">
        <v>21</v>
      </c>
      <c r="N282" s="29">
        <v>4.3</v>
      </c>
      <c r="O282" t="s">
        <v>27</v>
      </c>
    </row>
    <row r="283" spans="1:15" ht="14.25">
      <c r="A283" t="s">
        <v>317</v>
      </c>
      <c r="B283" s="2">
        <v>46259</v>
      </c>
      <c r="C283" t="s">
        <v>35</v>
      </c>
      <c r="D283" t="s">
        <v>36</v>
      </c>
      <c r="E283">
        <v>21</v>
      </c>
      <c r="F283" s="3">
        <v>793</v>
      </c>
      <c r="G283" s="4">
        <v>20</v>
      </c>
      <c r="H283">
        <v>1</v>
      </c>
      <c r="I283">
        <v>2</v>
      </c>
      <c r="J283" t="s">
        <v>20</v>
      </c>
      <c r="K283">
        <v>4</v>
      </c>
      <c r="L283" t="s">
        <v>21</v>
      </c>
      <c r="M283" t="s">
        <v>21</v>
      </c>
      <c r="N283" s="29">
        <v>11</v>
      </c>
      <c r="O283" t="s">
        <v>22</v>
      </c>
    </row>
    <row r="284" spans="1:15" ht="14.25">
      <c r="A284" t="s">
        <v>318</v>
      </c>
      <c r="B284" s="2">
        <v>46249</v>
      </c>
      <c r="C284" t="s">
        <v>24</v>
      </c>
      <c r="D284" t="s">
        <v>47</v>
      </c>
      <c r="E284">
        <v>36</v>
      </c>
      <c r="F284" s="3">
        <v>1099</v>
      </c>
      <c r="G284" s="4">
        <v>25</v>
      </c>
      <c r="H284">
        <v>2</v>
      </c>
      <c r="I284">
        <v>2</v>
      </c>
      <c r="J284" t="s">
        <v>39</v>
      </c>
      <c r="K284">
        <v>5</v>
      </c>
      <c r="L284" t="s">
        <v>21</v>
      </c>
      <c r="M284" t="s">
        <v>21</v>
      </c>
      <c r="N284" s="29">
        <v>26.1</v>
      </c>
      <c r="O284" t="s">
        <v>27</v>
      </c>
    </row>
    <row r="285" spans="1:15" ht="14.25">
      <c r="A285" t="s">
        <v>319</v>
      </c>
      <c r="B285" s="2">
        <v>46252</v>
      </c>
      <c r="C285" t="s">
        <v>35</v>
      </c>
      <c r="D285" t="s">
        <v>38</v>
      </c>
      <c r="E285">
        <v>55</v>
      </c>
      <c r="F285" s="3">
        <v>444</v>
      </c>
      <c r="G285" s="4">
        <v>25</v>
      </c>
      <c r="H285">
        <v>2</v>
      </c>
      <c r="I285">
        <v>3</v>
      </c>
      <c r="J285" t="s">
        <v>39</v>
      </c>
      <c r="K285">
        <v>3</v>
      </c>
      <c r="L285" t="s">
        <v>21</v>
      </c>
      <c r="M285" t="s">
        <v>21</v>
      </c>
      <c r="N285" s="29">
        <v>9.3000000000000007</v>
      </c>
      <c r="O285" t="s">
        <v>27</v>
      </c>
    </row>
    <row r="286" spans="1:15" ht="14.25">
      <c r="A286" t="s">
        <v>320</v>
      </c>
      <c r="B286" s="2">
        <v>46275</v>
      </c>
      <c r="C286" t="s">
        <v>55</v>
      </c>
      <c r="D286" t="s">
        <v>29</v>
      </c>
      <c r="E286">
        <v>26</v>
      </c>
      <c r="F286" s="3">
        <v>1164</v>
      </c>
      <c r="G286" s="4">
        <v>5</v>
      </c>
      <c r="H286">
        <v>3</v>
      </c>
      <c r="I286">
        <v>6</v>
      </c>
      <c r="J286" t="s">
        <v>26</v>
      </c>
      <c r="K286">
        <v>3</v>
      </c>
      <c r="L286" t="s">
        <v>21</v>
      </c>
      <c r="M286" t="s">
        <v>21</v>
      </c>
      <c r="N286" s="29">
        <v>23.9</v>
      </c>
      <c r="O286" t="s">
        <v>27</v>
      </c>
    </row>
    <row r="287" spans="1:15" ht="14.25">
      <c r="A287" t="s">
        <v>321</v>
      </c>
      <c r="B287" s="2">
        <v>46269</v>
      </c>
      <c r="C287" t="s">
        <v>55</v>
      </c>
      <c r="D287" t="s">
        <v>38</v>
      </c>
      <c r="E287">
        <v>37</v>
      </c>
      <c r="F287" s="3">
        <v>618</v>
      </c>
      <c r="G287" s="4">
        <v>10</v>
      </c>
      <c r="H287">
        <v>1</v>
      </c>
      <c r="I287">
        <v>1</v>
      </c>
      <c r="J287" t="s">
        <v>20</v>
      </c>
      <c r="K287">
        <v>5</v>
      </c>
      <c r="L287" t="s">
        <v>21</v>
      </c>
      <c r="M287" t="s">
        <v>21</v>
      </c>
      <c r="N287" s="29">
        <v>22.3</v>
      </c>
      <c r="O287" t="s">
        <v>27</v>
      </c>
    </row>
    <row r="288" spans="1:15" ht="14.25">
      <c r="A288" t="s">
        <v>322</v>
      </c>
      <c r="B288" s="2">
        <v>46242</v>
      </c>
      <c r="C288" t="s">
        <v>41</v>
      </c>
      <c r="D288" t="s">
        <v>19</v>
      </c>
      <c r="E288">
        <v>40</v>
      </c>
      <c r="F288" s="3">
        <v>2692</v>
      </c>
      <c r="G288" s="4">
        <v>5</v>
      </c>
      <c r="H288">
        <v>3</v>
      </c>
      <c r="I288">
        <v>3</v>
      </c>
      <c r="J288" t="s">
        <v>26</v>
      </c>
      <c r="K288">
        <v>4</v>
      </c>
      <c r="L288" t="s">
        <v>21</v>
      </c>
      <c r="M288" t="s">
        <v>21</v>
      </c>
      <c r="N288" s="29">
        <v>19.100000000000001</v>
      </c>
      <c r="O288" t="s">
        <v>59</v>
      </c>
    </row>
    <row r="289" spans="1:15" ht="14.25">
      <c r="A289" t="s">
        <v>323</v>
      </c>
      <c r="B289" s="2">
        <v>46236</v>
      </c>
      <c r="C289" t="s">
        <v>35</v>
      </c>
      <c r="D289" t="s">
        <v>25</v>
      </c>
      <c r="E289">
        <v>33</v>
      </c>
      <c r="F289" s="3">
        <v>1298</v>
      </c>
      <c r="G289" s="4">
        <v>20</v>
      </c>
      <c r="H289">
        <v>2</v>
      </c>
      <c r="I289">
        <v>2</v>
      </c>
      <c r="J289" t="s">
        <v>30</v>
      </c>
      <c r="K289">
        <v>4</v>
      </c>
      <c r="L289" t="s">
        <v>21</v>
      </c>
      <c r="M289" t="s">
        <v>21</v>
      </c>
      <c r="N289" s="29">
        <v>26.9</v>
      </c>
      <c r="O289" t="s">
        <v>27</v>
      </c>
    </row>
    <row r="290" spans="1:15" ht="14.25">
      <c r="A290" t="s">
        <v>324</v>
      </c>
      <c r="B290" s="2">
        <v>46269</v>
      </c>
      <c r="C290" t="s">
        <v>55</v>
      </c>
      <c r="D290" t="s">
        <v>38</v>
      </c>
      <c r="E290">
        <v>41</v>
      </c>
      <c r="F290" s="3">
        <v>932</v>
      </c>
      <c r="G290" s="4">
        <v>20</v>
      </c>
      <c r="H290">
        <v>3</v>
      </c>
      <c r="I290">
        <v>4</v>
      </c>
      <c r="J290" t="s">
        <v>20</v>
      </c>
      <c r="K290">
        <v>4</v>
      </c>
      <c r="L290" t="s">
        <v>21</v>
      </c>
      <c r="M290" t="s">
        <v>21</v>
      </c>
      <c r="N290" s="29">
        <v>13.3</v>
      </c>
      <c r="O290" t="s">
        <v>59</v>
      </c>
    </row>
    <row r="291" spans="1:15" ht="14.25">
      <c r="A291" t="s">
        <v>325</v>
      </c>
      <c r="B291" s="2">
        <v>46280</v>
      </c>
      <c r="C291" t="s">
        <v>18</v>
      </c>
      <c r="D291" t="s">
        <v>32</v>
      </c>
      <c r="E291">
        <v>22</v>
      </c>
      <c r="F291" s="3">
        <v>5059</v>
      </c>
      <c r="G291" s="4">
        <v>5</v>
      </c>
      <c r="H291">
        <v>3</v>
      </c>
      <c r="I291">
        <v>6</v>
      </c>
      <c r="J291" t="s">
        <v>39</v>
      </c>
      <c r="K291">
        <v>2</v>
      </c>
      <c r="L291" t="s">
        <v>21</v>
      </c>
      <c r="M291" t="s">
        <v>21</v>
      </c>
      <c r="N291" s="29">
        <v>23.6</v>
      </c>
      <c r="O291" t="s">
        <v>27</v>
      </c>
    </row>
    <row r="292" spans="1:15" ht="14.25">
      <c r="A292" t="s">
        <v>326</v>
      </c>
      <c r="B292" s="2">
        <v>46262</v>
      </c>
      <c r="C292" t="s">
        <v>35</v>
      </c>
      <c r="D292" t="s">
        <v>19</v>
      </c>
      <c r="E292">
        <v>23</v>
      </c>
      <c r="F292" s="3">
        <v>1378</v>
      </c>
      <c r="G292" s="4">
        <v>0</v>
      </c>
      <c r="H292">
        <v>1</v>
      </c>
      <c r="I292">
        <v>1</v>
      </c>
      <c r="J292" t="s">
        <v>39</v>
      </c>
      <c r="K292">
        <v>5</v>
      </c>
      <c r="L292" t="s">
        <v>21</v>
      </c>
      <c r="M292" t="s">
        <v>21</v>
      </c>
      <c r="N292" s="29">
        <v>6.2</v>
      </c>
      <c r="O292" t="s">
        <v>27</v>
      </c>
    </row>
    <row r="293" spans="1:15" ht="14.25">
      <c r="A293" t="s">
        <v>327</v>
      </c>
      <c r="B293" s="2">
        <v>46273</v>
      </c>
      <c r="C293" t="s">
        <v>35</v>
      </c>
      <c r="D293" t="s">
        <v>19</v>
      </c>
      <c r="E293">
        <v>42</v>
      </c>
      <c r="F293" s="3">
        <v>699</v>
      </c>
      <c r="G293" s="4">
        <v>25</v>
      </c>
      <c r="H293">
        <v>3</v>
      </c>
      <c r="I293">
        <v>2</v>
      </c>
      <c r="J293" t="s">
        <v>30</v>
      </c>
      <c r="K293">
        <v>5</v>
      </c>
      <c r="L293" t="s">
        <v>21</v>
      </c>
      <c r="M293" t="s">
        <v>21</v>
      </c>
      <c r="N293" s="29">
        <v>3.2</v>
      </c>
      <c r="O293" t="s">
        <v>27</v>
      </c>
    </row>
    <row r="294" spans="1:15" ht="14.25">
      <c r="A294" t="s">
        <v>328</v>
      </c>
      <c r="B294" s="2">
        <v>46253</v>
      </c>
      <c r="C294" t="s">
        <v>18</v>
      </c>
      <c r="D294" t="s">
        <v>29</v>
      </c>
      <c r="E294">
        <v>46</v>
      </c>
      <c r="F294" s="3">
        <v>1459</v>
      </c>
      <c r="G294" s="4">
        <v>15</v>
      </c>
      <c r="H294">
        <v>3</v>
      </c>
      <c r="I294">
        <v>4</v>
      </c>
      <c r="J294" t="s">
        <v>20</v>
      </c>
      <c r="K294">
        <v>4</v>
      </c>
      <c r="L294" t="s">
        <v>21</v>
      </c>
      <c r="M294" t="s">
        <v>21</v>
      </c>
      <c r="N294" s="29">
        <v>23.3</v>
      </c>
      <c r="O294" t="s">
        <v>22</v>
      </c>
    </row>
    <row r="295" spans="1:15" ht="14.25">
      <c r="A295" t="s">
        <v>329</v>
      </c>
      <c r="B295" s="2">
        <v>46248</v>
      </c>
      <c r="C295" t="s">
        <v>24</v>
      </c>
      <c r="D295" t="s">
        <v>29</v>
      </c>
      <c r="E295">
        <v>41</v>
      </c>
      <c r="F295" s="3">
        <v>1929</v>
      </c>
      <c r="G295" s="4">
        <v>20</v>
      </c>
      <c r="H295">
        <v>3</v>
      </c>
      <c r="I295">
        <v>6</v>
      </c>
      <c r="J295" t="s">
        <v>30</v>
      </c>
      <c r="K295">
        <v>2</v>
      </c>
      <c r="L295" t="s">
        <v>21</v>
      </c>
      <c r="M295" t="s">
        <v>21</v>
      </c>
      <c r="N295" s="29">
        <v>4.8</v>
      </c>
      <c r="O295" t="s">
        <v>22</v>
      </c>
    </row>
    <row r="296" spans="1:15" ht="14.25">
      <c r="A296" t="s">
        <v>330</v>
      </c>
      <c r="B296" s="2">
        <v>46264</v>
      </c>
      <c r="C296" t="s">
        <v>41</v>
      </c>
      <c r="D296" t="s">
        <v>32</v>
      </c>
      <c r="E296">
        <v>50</v>
      </c>
      <c r="F296" s="3">
        <v>2552</v>
      </c>
      <c r="G296" s="4">
        <v>5</v>
      </c>
      <c r="H296">
        <v>3</v>
      </c>
      <c r="I296">
        <v>3</v>
      </c>
      <c r="J296" t="s">
        <v>20</v>
      </c>
      <c r="K296">
        <v>4</v>
      </c>
      <c r="L296" t="s">
        <v>21</v>
      </c>
      <c r="M296" t="s">
        <v>21</v>
      </c>
      <c r="N296" s="29">
        <v>6.4</v>
      </c>
      <c r="O296" t="s">
        <v>22</v>
      </c>
    </row>
    <row r="297" spans="1:15" ht="14.25">
      <c r="A297" t="s">
        <v>331</v>
      </c>
      <c r="B297" s="2">
        <v>46255</v>
      </c>
      <c r="C297" t="s">
        <v>55</v>
      </c>
      <c r="D297" t="s">
        <v>19</v>
      </c>
      <c r="E297">
        <v>36</v>
      </c>
      <c r="F297" s="3">
        <v>1184</v>
      </c>
      <c r="G297" s="4">
        <v>5</v>
      </c>
      <c r="H297">
        <v>3</v>
      </c>
      <c r="I297">
        <v>3</v>
      </c>
      <c r="J297" t="s">
        <v>33</v>
      </c>
      <c r="K297">
        <v>5</v>
      </c>
      <c r="L297" t="s">
        <v>21</v>
      </c>
      <c r="M297" t="s">
        <v>21</v>
      </c>
      <c r="N297" s="29">
        <v>14.4</v>
      </c>
      <c r="O297" t="s">
        <v>27</v>
      </c>
    </row>
    <row r="298" spans="1:15" ht="14.25">
      <c r="A298" t="s">
        <v>332</v>
      </c>
      <c r="B298" s="2">
        <v>46280</v>
      </c>
      <c r="C298" t="s">
        <v>41</v>
      </c>
      <c r="D298" t="s">
        <v>25</v>
      </c>
      <c r="E298">
        <v>39</v>
      </c>
      <c r="F298" s="3">
        <v>1796</v>
      </c>
      <c r="G298" s="4">
        <v>20</v>
      </c>
      <c r="H298">
        <v>3</v>
      </c>
      <c r="I298">
        <v>5</v>
      </c>
      <c r="J298" t="s">
        <v>33</v>
      </c>
      <c r="K298">
        <v>3</v>
      </c>
      <c r="L298" t="s">
        <v>21</v>
      </c>
      <c r="M298" t="s">
        <v>21</v>
      </c>
      <c r="N298" s="29">
        <v>19.899999999999999</v>
      </c>
      <c r="O298" t="s">
        <v>27</v>
      </c>
    </row>
    <row r="299" spans="1:15" ht="14.25">
      <c r="A299" t="s">
        <v>333</v>
      </c>
      <c r="B299" s="2">
        <v>46269</v>
      </c>
      <c r="C299" t="s">
        <v>41</v>
      </c>
      <c r="D299" t="s">
        <v>29</v>
      </c>
      <c r="E299">
        <v>41</v>
      </c>
      <c r="F299" s="3">
        <v>3895</v>
      </c>
      <c r="G299" s="4">
        <v>15</v>
      </c>
      <c r="H299">
        <v>3</v>
      </c>
      <c r="I299">
        <v>3</v>
      </c>
      <c r="J299" t="s">
        <v>33</v>
      </c>
      <c r="K299">
        <v>5</v>
      </c>
      <c r="L299" t="s">
        <v>21</v>
      </c>
      <c r="M299" t="s">
        <v>21</v>
      </c>
      <c r="N299" s="29">
        <v>13.3</v>
      </c>
      <c r="O299" t="s">
        <v>22</v>
      </c>
    </row>
    <row r="300" spans="1:15" ht="14.25">
      <c r="A300" t="s">
        <v>334</v>
      </c>
      <c r="B300" s="2">
        <v>46270</v>
      </c>
      <c r="C300" t="s">
        <v>24</v>
      </c>
      <c r="D300" t="s">
        <v>29</v>
      </c>
      <c r="E300">
        <v>22</v>
      </c>
      <c r="F300" s="3">
        <v>2892</v>
      </c>
      <c r="G300" s="4">
        <v>25</v>
      </c>
      <c r="H300">
        <v>2</v>
      </c>
      <c r="I300">
        <v>1</v>
      </c>
      <c r="J300" t="s">
        <v>26</v>
      </c>
      <c r="K300">
        <v>5</v>
      </c>
      <c r="L300" t="s">
        <v>21</v>
      </c>
      <c r="M300" t="s">
        <v>21</v>
      </c>
      <c r="N300" s="29">
        <v>25.1</v>
      </c>
      <c r="O300" t="s">
        <v>27</v>
      </c>
    </row>
    <row r="301" spans="1:15" ht="14.25">
      <c r="A301" t="s">
        <v>335</v>
      </c>
      <c r="B301" s="2">
        <v>46277</v>
      </c>
      <c r="C301" t="s">
        <v>35</v>
      </c>
      <c r="D301" t="s">
        <v>47</v>
      </c>
      <c r="E301">
        <v>52</v>
      </c>
      <c r="F301" s="3">
        <v>304</v>
      </c>
      <c r="G301" s="4">
        <v>10</v>
      </c>
      <c r="H301">
        <v>2</v>
      </c>
      <c r="I301">
        <v>2</v>
      </c>
      <c r="J301" t="s">
        <v>26</v>
      </c>
      <c r="K301">
        <v>4</v>
      </c>
      <c r="L301" t="s">
        <v>21</v>
      </c>
      <c r="M301" t="s">
        <v>21</v>
      </c>
      <c r="N301" s="29">
        <v>7.4</v>
      </c>
      <c r="O301" t="s">
        <v>27</v>
      </c>
    </row>
    <row r="302" spans="1:15" ht="14.25">
      <c r="A302" t="s">
        <v>336</v>
      </c>
      <c r="B302" s="2">
        <v>46249</v>
      </c>
      <c r="C302" t="s">
        <v>24</v>
      </c>
      <c r="D302" t="s">
        <v>38</v>
      </c>
      <c r="E302">
        <v>28</v>
      </c>
      <c r="F302" s="3">
        <v>2071</v>
      </c>
      <c r="G302" s="4">
        <v>20</v>
      </c>
      <c r="H302">
        <v>3</v>
      </c>
      <c r="I302">
        <v>4</v>
      </c>
      <c r="J302" t="s">
        <v>39</v>
      </c>
      <c r="K302">
        <v>4</v>
      </c>
      <c r="L302" t="s">
        <v>21</v>
      </c>
      <c r="M302" t="s">
        <v>21</v>
      </c>
      <c r="N302" s="29">
        <v>13.3</v>
      </c>
      <c r="O302" t="s">
        <v>27</v>
      </c>
    </row>
    <row r="303" spans="1:15" ht="14.25">
      <c r="A303" t="s">
        <v>337</v>
      </c>
      <c r="B303" s="2">
        <v>46282</v>
      </c>
      <c r="C303" t="s">
        <v>18</v>
      </c>
      <c r="D303" t="s">
        <v>29</v>
      </c>
      <c r="E303">
        <v>41</v>
      </c>
      <c r="F303" s="3">
        <v>4572</v>
      </c>
      <c r="G303" s="4">
        <v>20</v>
      </c>
      <c r="H303">
        <v>3</v>
      </c>
      <c r="I303">
        <v>2</v>
      </c>
      <c r="J303" t="s">
        <v>30</v>
      </c>
      <c r="K303">
        <v>4</v>
      </c>
      <c r="L303" t="s">
        <v>21</v>
      </c>
      <c r="M303" t="s">
        <v>21</v>
      </c>
      <c r="N303" s="29">
        <v>11.8</v>
      </c>
      <c r="O303" t="s">
        <v>59</v>
      </c>
    </row>
    <row r="304" spans="1:15" ht="14.25">
      <c r="A304" t="s">
        <v>338</v>
      </c>
      <c r="B304" s="2">
        <v>46268</v>
      </c>
      <c r="C304" t="s">
        <v>35</v>
      </c>
      <c r="D304" t="s">
        <v>47</v>
      </c>
      <c r="E304">
        <v>52</v>
      </c>
      <c r="F304" s="3">
        <v>1417</v>
      </c>
      <c r="G304" s="4">
        <v>20</v>
      </c>
      <c r="H304">
        <v>2</v>
      </c>
      <c r="I304">
        <v>3</v>
      </c>
      <c r="J304" t="s">
        <v>33</v>
      </c>
      <c r="K304">
        <v>4</v>
      </c>
      <c r="L304" t="s">
        <v>21</v>
      </c>
      <c r="M304" t="s">
        <v>21</v>
      </c>
      <c r="N304" s="29">
        <v>11.5</v>
      </c>
      <c r="O304" t="s">
        <v>27</v>
      </c>
    </row>
    <row r="305" spans="1:15" ht="14.25">
      <c r="A305" t="s">
        <v>63</v>
      </c>
      <c r="B305" s="2">
        <v>46246</v>
      </c>
      <c r="C305" t="s">
        <v>24</v>
      </c>
      <c r="D305" t="s">
        <v>32</v>
      </c>
      <c r="E305">
        <v>24</v>
      </c>
      <c r="F305" s="3">
        <v>1100</v>
      </c>
      <c r="G305" s="4">
        <v>15</v>
      </c>
      <c r="H305">
        <v>4</v>
      </c>
      <c r="I305">
        <v>4</v>
      </c>
      <c r="J305" t="s">
        <v>26</v>
      </c>
      <c r="K305">
        <v>5</v>
      </c>
      <c r="L305" t="s">
        <v>21</v>
      </c>
      <c r="M305" t="s">
        <v>21</v>
      </c>
      <c r="N305" s="29">
        <v>21.4</v>
      </c>
      <c r="O305" t="s">
        <v>22</v>
      </c>
    </row>
    <row r="306" spans="1:15" ht="14.25">
      <c r="A306" t="s">
        <v>138</v>
      </c>
      <c r="B306" s="2">
        <v>46240</v>
      </c>
      <c r="C306" t="s">
        <v>41</v>
      </c>
      <c r="D306" t="s">
        <v>36</v>
      </c>
      <c r="E306">
        <v>23</v>
      </c>
      <c r="F306" s="3">
        <v>2815</v>
      </c>
      <c r="G306" s="4">
        <v>10</v>
      </c>
      <c r="H306">
        <v>4</v>
      </c>
      <c r="I306">
        <v>4</v>
      </c>
      <c r="J306" t="s">
        <v>20</v>
      </c>
      <c r="K306">
        <v>5</v>
      </c>
      <c r="L306" t="s">
        <v>21</v>
      </c>
      <c r="M306" t="s">
        <v>21</v>
      </c>
      <c r="N306" s="29">
        <v>11.5</v>
      </c>
      <c r="O306" t="s">
        <v>22</v>
      </c>
    </row>
    <row r="307" spans="1:15" ht="14.25">
      <c r="A307" t="s">
        <v>213</v>
      </c>
      <c r="B307" s="2">
        <v>46271</v>
      </c>
      <c r="C307" t="s">
        <v>55</v>
      </c>
      <c r="D307" t="s">
        <v>25</v>
      </c>
      <c r="E307">
        <v>39</v>
      </c>
      <c r="F307" s="3">
        <v>807</v>
      </c>
      <c r="G307" s="4">
        <v>25</v>
      </c>
      <c r="H307">
        <v>3</v>
      </c>
      <c r="I307">
        <v>3</v>
      </c>
      <c r="J307" t="s">
        <v>39</v>
      </c>
      <c r="K307">
        <v>5</v>
      </c>
      <c r="L307" t="s">
        <v>21</v>
      </c>
      <c r="M307" t="s">
        <v>21</v>
      </c>
      <c r="N307" s="29">
        <v>5.0999999999999996</v>
      </c>
      <c r="O307" t="s">
        <v>27</v>
      </c>
    </row>
  </sheetData>
  <mergeCells count="2">
    <mergeCell ref="A1:O1"/>
    <mergeCell ref="A2:O2"/>
  </mergeCells>
  <conditionalFormatting sqref="K5:K30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307">
    <cfRule type="dataBar" priority="11">
      <dataBar>
        <cfvo type="min"/>
        <cfvo type="max"/>
        <color rgb="FF0F9ED5"/>
      </dataBar>
    </cfRule>
  </conditionalFormatting>
  <conditionalFormatting sqref="I5:I307">
    <cfRule type="dataBar" priority="12">
      <dataBar>
        <cfvo type="min"/>
        <cfvo type="max"/>
        <color rgb="FF0F9ED5"/>
      </dataBar>
      <extLst>
        <ext xmlns:x14="http://schemas.microsoft.com/office/spreadsheetml/2009/9/main" uri="{B025F937-C7B1-47D3-B67F-A62EFF666E3E}">
          <x14:id>{9A1D1F4E-114C-5DFD-264A-604AFEEAA181}</x14:id>
        </ext>
      </extLst>
    </cfRule>
  </conditionalFormatting>
  <conditionalFormatting sqref="O5:O307">
    <cfRule type="containsText" dxfId="15" priority="9" operator="containsText" text="New">
      <formula>NOT(ISERROR(SEARCH("New",O5)))</formula>
    </cfRule>
  </conditionalFormatting>
  <conditionalFormatting sqref="O5:O307">
    <cfRule type="containsText" dxfId="14" priority="8" operator="containsText" text="Returning">
      <formula>NOT(ISERROR(SEARCH("Returning",O5)))</formula>
    </cfRule>
  </conditionalFormatting>
  <conditionalFormatting sqref="M1:M1048576">
    <cfRule type="containsText" dxfId="13" priority="7" operator="containsText" text="Yes">
      <formula>NOT(ISERROR(SEARCH("Yes",M1)))</formula>
    </cfRule>
  </conditionalFormatting>
  <conditionalFormatting sqref="O1:O1048576">
    <cfRule type="containsText" dxfId="12" priority="6" operator="containsText" text="VIP">
      <formula>NOT(ISERROR(SEARCH("VIP",O1)))</formula>
    </cfRule>
  </conditionalFormatting>
  <conditionalFormatting sqref="L1:L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1:L1048576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1:L1048576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L1:L1048576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C5:C30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1D1F4E-114C-5DFD-264A-604AFEEAA181}">
            <x14:dataBar>
              <x14:cfvo type="min"/>
              <x14:cfvo type="max"/>
              <x14:negativeFillColor auto="1"/>
              <x14:axisColor auto="1"/>
            </x14:dataBar>
          </x14:cfRule>
          <xm:sqref>I5:I307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Normal="100" zoomScaleSheetLayoutView="100" workbookViewId="0"/>
  </sheetViews>
  <sheetFormatPr defaultRowHeight="15"/>
  <cols>
    <col min="1" max="1" width="22" customWidth="1"/>
    <col min="2" max="2" width="90" customWidth="1"/>
  </cols>
  <sheetData>
    <row r="1" spans="1:2">
      <c r="A1" s="6" t="s">
        <v>339</v>
      </c>
      <c r="B1" s="8" t="s">
        <v>340</v>
      </c>
    </row>
    <row r="2" spans="1:2">
      <c r="A2" s="7" t="s">
        <v>341</v>
      </c>
      <c r="B2" s="9" t="s">
        <v>342</v>
      </c>
    </row>
    <row r="3" spans="1:2">
      <c r="A3" s="7" t="s">
        <v>343</v>
      </c>
      <c r="B3" s="9" t="s">
        <v>344</v>
      </c>
    </row>
    <row r="4" spans="1:2">
      <c r="A4" s="7" t="s">
        <v>345</v>
      </c>
      <c r="B4" s="9" t="s">
        <v>346</v>
      </c>
    </row>
    <row r="5" spans="1:2">
      <c r="A5" s="7" t="s">
        <v>347</v>
      </c>
      <c r="B5" s="9" t="s">
        <v>348</v>
      </c>
    </row>
    <row r="6" spans="1:2">
      <c r="A6" s="7" t="s">
        <v>349</v>
      </c>
      <c r="B6" s="9" t="s">
        <v>350</v>
      </c>
    </row>
    <row r="7" spans="1:2">
      <c r="A7" s="7" t="s">
        <v>351</v>
      </c>
      <c r="B7" s="9" t="s">
        <v>352</v>
      </c>
    </row>
    <row r="8" spans="1:2">
      <c r="A8" s="7" t="s">
        <v>353</v>
      </c>
      <c r="B8" s="9" t="s">
        <v>354</v>
      </c>
    </row>
    <row r="9" spans="1:2">
      <c r="A9" s="7" t="s">
        <v>355</v>
      </c>
      <c r="B9" s="9" t="s">
        <v>356</v>
      </c>
    </row>
    <row r="10" spans="1:2">
      <c r="A10" s="7" t="s">
        <v>357</v>
      </c>
      <c r="B10" s="9" t="s">
        <v>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74938-80F0-4707-924B-3859B83B87EA}">
  <sheetPr>
    <tabColor rgb="FF00B0F0"/>
  </sheetPr>
  <dimension ref="A1:U301"/>
  <sheetViews>
    <sheetView workbookViewId="0">
      <selection activeCell="C8" sqref="C8"/>
    </sheetView>
  </sheetViews>
  <sheetFormatPr defaultRowHeight="14.25"/>
  <cols>
    <col min="2" max="2" width="14.625" customWidth="1"/>
    <col min="3" max="3" width="15.125" customWidth="1"/>
    <col min="10" max="10" width="17" customWidth="1"/>
  </cols>
  <sheetData>
    <row r="1" spans="1:21" ht="3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359</v>
      </c>
      <c r="Q1" s="1" t="s">
        <v>360</v>
      </c>
      <c r="R1" s="1" t="s">
        <v>361</v>
      </c>
      <c r="S1" s="1" t="s">
        <v>362</v>
      </c>
      <c r="T1" s="1" t="s">
        <v>363</v>
      </c>
      <c r="U1" s="1" t="s">
        <v>364</v>
      </c>
    </row>
    <row r="2" spans="1:21">
      <c r="A2" t="s">
        <v>17</v>
      </c>
      <c r="B2" s="2">
        <v>46261</v>
      </c>
      <c r="C2" t="s">
        <v>18</v>
      </c>
      <c r="D2" t="s">
        <v>19</v>
      </c>
      <c r="E2">
        <v>35</v>
      </c>
      <c r="F2" s="3">
        <v>4243</v>
      </c>
      <c r="G2" s="4">
        <v>0</v>
      </c>
      <c r="H2">
        <v>4</v>
      </c>
      <c r="I2">
        <v>3</v>
      </c>
      <c r="J2" t="s">
        <v>20</v>
      </c>
      <c r="K2">
        <v>4</v>
      </c>
      <c r="L2" t="s">
        <v>21</v>
      </c>
      <c r="M2" t="s">
        <v>21</v>
      </c>
      <c r="N2" s="5">
        <v>3.8</v>
      </c>
      <c r="O2" t="s">
        <v>22</v>
      </c>
      <c r="P2" t="str">
        <f>IF(I2&gt;H2,"Late","On Time")</f>
        <v>On Time</v>
      </c>
      <c r="Q2">
        <f>MAX(0,I2-H2)</f>
        <v>0</v>
      </c>
      <c r="R2" t="str">
        <f t="shared" ref="R2:R65" si="0">IF(K2&gt;=4,"High",IF(K2=3,"Medium","Low"))</f>
        <v>High</v>
      </c>
      <c r="S2" t="str">
        <f t="shared" ref="S2:S65" si="1">IF(L2="Yes","Cancelled",IF(M2="Yes","Returned","Completed"))</f>
        <v>Completed</v>
      </c>
      <c r="T2">
        <f t="shared" ref="T2:T65" si="2">F2*(1-G2/100)</f>
        <v>4243</v>
      </c>
      <c r="U2">
        <f t="shared" ref="U2:U65" si="3">IF(P2="Late",1,0)</f>
        <v>0</v>
      </c>
    </row>
    <row r="3" spans="1:21">
      <c r="A3" t="s">
        <v>23</v>
      </c>
      <c r="B3" s="2">
        <v>46259</v>
      </c>
      <c r="C3" t="s">
        <v>24</v>
      </c>
      <c r="D3" t="s">
        <v>25</v>
      </c>
      <c r="E3">
        <v>55</v>
      </c>
      <c r="F3" s="3">
        <v>2293</v>
      </c>
      <c r="G3" s="4">
        <v>10</v>
      </c>
      <c r="H3">
        <v>2</v>
      </c>
      <c r="I3">
        <v>5</v>
      </c>
      <c r="J3" t="s">
        <v>26</v>
      </c>
      <c r="K3">
        <v>2</v>
      </c>
      <c r="L3" t="s">
        <v>21</v>
      </c>
      <c r="M3" t="s">
        <v>21</v>
      </c>
      <c r="N3" s="5">
        <v>21.6</v>
      </c>
      <c r="O3" t="s">
        <v>27</v>
      </c>
      <c r="P3" t="str">
        <f>IF(I3&gt;H3,"Late","On Time")</f>
        <v>Late</v>
      </c>
      <c r="Q3">
        <f>MAX(0,I3-H3)</f>
        <v>3</v>
      </c>
      <c r="R3" t="str">
        <f t="shared" si="0"/>
        <v>Low</v>
      </c>
      <c r="S3" t="str">
        <f t="shared" si="1"/>
        <v>Completed</v>
      </c>
      <c r="T3">
        <f t="shared" si="2"/>
        <v>2063.7000000000003</v>
      </c>
      <c r="U3">
        <f t="shared" si="3"/>
        <v>1</v>
      </c>
    </row>
    <row r="4" spans="1:21">
      <c r="A4" t="s">
        <v>28</v>
      </c>
      <c r="B4" s="2">
        <v>46271</v>
      </c>
      <c r="C4" t="s">
        <v>18</v>
      </c>
      <c r="D4" t="s">
        <v>29</v>
      </c>
      <c r="E4">
        <v>40</v>
      </c>
      <c r="F4" s="3">
        <v>594</v>
      </c>
      <c r="G4" s="4">
        <v>25</v>
      </c>
      <c r="H4">
        <v>3</v>
      </c>
      <c r="I4">
        <v>3</v>
      </c>
      <c r="J4" t="s">
        <v>30</v>
      </c>
      <c r="K4">
        <v>4</v>
      </c>
      <c r="L4" t="s">
        <v>21</v>
      </c>
      <c r="M4" t="s">
        <v>21</v>
      </c>
      <c r="N4" s="5">
        <v>15.7</v>
      </c>
      <c r="O4" t="s">
        <v>22</v>
      </c>
      <c r="P4" t="str">
        <f>IF(I4&gt;H4,"Late","On Time")</f>
        <v>On Time</v>
      </c>
      <c r="Q4">
        <f>MAX(0,I4-H4)</f>
        <v>0</v>
      </c>
      <c r="R4" t="str">
        <f t="shared" si="0"/>
        <v>High</v>
      </c>
      <c r="S4" t="str">
        <f t="shared" si="1"/>
        <v>Completed</v>
      </c>
      <c r="T4">
        <f t="shared" si="2"/>
        <v>445.5</v>
      </c>
      <c r="U4">
        <f t="shared" si="3"/>
        <v>0</v>
      </c>
    </row>
    <row r="5" spans="1:21">
      <c r="A5" t="s">
        <v>31</v>
      </c>
      <c r="B5" s="2">
        <v>46258</v>
      </c>
      <c r="C5" t="s">
        <v>24</v>
      </c>
      <c r="D5" t="s">
        <v>32</v>
      </c>
      <c r="E5">
        <v>22</v>
      </c>
      <c r="F5" s="3">
        <v>809</v>
      </c>
      <c r="G5" s="4">
        <v>0</v>
      </c>
      <c r="H5">
        <v>3</v>
      </c>
      <c r="I5">
        <v>3</v>
      </c>
      <c r="J5" t="s">
        <v>33</v>
      </c>
      <c r="K5">
        <v>5</v>
      </c>
      <c r="L5" t="s">
        <v>21</v>
      </c>
      <c r="M5" t="s">
        <v>21</v>
      </c>
      <c r="N5" s="5">
        <v>22</v>
      </c>
      <c r="O5" t="s">
        <v>22</v>
      </c>
      <c r="P5" t="str">
        <f>IF(I5&gt;H5,"Late","On Time")</f>
        <v>On Time</v>
      </c>
      <c r="Q5">
        <f>MAX(0,I5-H5)</f>
        <v>0</v>
      </c>
      <c r="R5" t="str">
        <f t="shared" si="0"/>
        <v>High</v>
      </c>
      <c r="S5" t="str">
        <f t="shared" si="1"/>
        <v>Completed</v>
      </c>
      <c r="T5">
        <f t="shared" si="2"/>
        <v>809</v>
      </c>
      <c r="U5">
        <f t="shared" si="3"/>
        <v>0</v>
      </c>
    </row>
    <row r="6" spans="1:21">
      <c r="A6" t="s">
        <v>34</v>
      </c>
      <c r="B6" s="2">
        <v>46249</v>
      </c>
      <c r="C6" t="s">
        <v>35</v>
      </c>
      <c r="D6" t="s">
        <v>36</v>
      </c>
      <c r="E6">
        <v>35</v>
      </c>
      <c r="F6" s="3">
        <v>741</v>
      </c>
      <c r="G6" s="4">
        <v>0</v>
      </c>
      <c r="H6">
        <v>3</v>
      </c>
      <c r="I6">
        <v>3</v>
      </c>
      <c r="J6" t="s">
        <v>20</v>
      </c>
      <c r="K6">
        <v>4</v>
      </c>
      <c r="L6" t="s">
        <v>21</v>
      </c>
      <c r="M6" t="s">
        <v>21</v>
      </c>
      <c r="N6" s="5">
        <v>18.3</v>
      </c>
      <c r="O6" t="s">
        <v>22</v>
      </c>
      <c r="P6" t="str">
        <f>IF(I6&gt;H6,"Late","On Time")</f>
        <v>On Time</v>
      </c>
      <c r="Q6">
        <f>MAX(0,I6-H6)</f>
        <v>0</v>
      </c>
      <c r="R6" t="str">
        <f t="shared" si="0"/>
        <v>High</v>
      </c>
      <c r="S6" t="str">
        <f t="shared" si="1"/>
        <v>Completed</v>
      </c>
      <c r="T6">
        <f t="shared" si="2"/>
        <v>741</v>
      </c>
      <c r="U6">
        <f t="shared" si="3"/>
        <v>0</v>
      </c>
    </row>
    <row r="7" spans="1:21">
      <c r="A7" t="s">
        <v>37</v>
      </c>
      <c r="B7" s="2">
        <v>46260</v>
      </c>
      <c r="C7" t="s">
        <v>35</v>
      </c>
      <c r="D7" t="s">
        <v>38</v>
      </c>
      <c r="E7">
        <v>21</v>
      </c>
      <c r="F7" s="3">
        <v>393</v>
      </c>
      <c r="G7" s="4">
        <v>5</v>
      </c>
      <c r="H7">
        <v>1</v>
      </c>
      <c r="I7">
        <v>1</v>
      </c>
      <c r="J7" t="s">
        <v>39</v>
      </c>
      <c r="K7">
        <v>4</v>
      </c>
      <c r="L7" t="s">
        <v>21</v>
      </c>
      <c r="M7" t="s">
        <v>21</v>
      </c>
      <c r="N7" s="5">
        <v>22.8</v>
      </c>
      <c r="O7" t="s">
        <v>27</v>
      </c>
      <c r="P7" t="str">
        <f>IF(I7&gt;H7,"Late","On Time")</f>
        <v>On Time</v>
      </c>
      <c r="Q7">
        <f>MAX(0,I7-H7)</f>
        <v>0</v>
      </c>
      <c r="R7" t="str">
        <f t="shared" si="0"/>
        <v>High</v>
      </c>
      <c r="S7" t="str">
        <f t="shared" si="1"/>
        <v>Completed</v>
      </c>
      <c r="T7">
        <f t="shared" si="2"/>
        <v>373.34999999999997</v>
      </c>
      <c r="U7">
        <f t="shared" si="3"/>
        <v>0</v>
      </c>
    </row>
    <row r="8" spans="1:21">
      <c r="A8" t="s">
        <v>40</v>
      </c>
      <c r="B8" s="2">
        <v>46283</v>
      </c>
      <c r="C8" t="s">
        <v>41</v>
      </c>
      <c r="D8" t="s">
        <v>36</v>
      </c>
      <c r="E8">
        <v>34</v>
      </c>
      <c r="F8" s="3">
        <v>3868</v>
      </c>
      <c r="G8" s="4">
        <v>20</v>
      </c>
      <c r="H8">
        <v>3</v>
      </c>
      <c r="I8">
        <v>4</v>
      </c>
      <c r="J8" t="s">
        <v>26</v>
      </c>
      <c r="K8">
        <v>4</v>
      </c>
      <c r="L8" t="s">
        <v>21</v>
      </c>
      <c r="M8" t="s">
        <v>21</v>
      </c>
      <c r="N8" s="5">
        <v>21.3</v>
      </c>
      <c r="O8" t="s">
        <v>22</v>
      </c>
      <c r="P8" t="str">
        <f>IF(I8&gt;H8,"Late","On Time")</f>
        <v>Late</v>
      </c>
      <c r="Q8">
        <f>MAX(0,I8-H8)</f>
        <v>1</v>
      </c>
      <c r="R8" t="str">
        <f t="shared" si="0"/>
        <v>High</v>
      </c>
      <c r="S8" t="str">
        <f t="shared" si="1"/>
        <v>Completed</v>
      </c>
      <c r="T8">
        <f t="shared" si="2"/>
        <v>3094.4</v>
      </c>
      <c r="U8">
        <f t="shared" si="3"/>
        <v>1</v>
      </c>
    </row>
    <row r="9" spans="1:21">
      <c r="A9" t="s">
        <v>42</v>
      </c>
      <c r="B9" s="2">
        <v>46235</v>
      </c>
      <c r="C9" t="s">
        <v>18</v>
      </c>
      <c r="D9" t="s">
        <v>38</v>
      </c>
      <c r="E9">
        <v>25</v>
      </c>
      <c r="F9" s="3">
        <v>7378</v>
      </c>
      <c r="G9" s="4">
        <v>5</v>
      </c>
      <c r="H9">
        <v>3</v>
      </c>
      <c r="I9">
        <v>2</v>
      </c>
      <c r="J9" t="s">
        <v>20</v>
      </c>
      <c r="K9">
        <v>4</v>
      </c>
      <c r="L9" t="s">
        <v>21</v>
      </c>
      <c r="M9" t="s">
        <v>21</v>
      </c>
      <c r="N9" s="5">
        <v>22.5</v>
      </c>
      <c r="O9" t="s">
        <v>27</v>
      </c>
      <c r="P9" t="str">
        <f>IF(I9&gt;H9,"Late","On Time")</f>
        <v>On Time</v>
      </c>
      <c r="Q9">
        <f>MAX(0,I9-H9)</f>
        <v>0</v>
      </c>
      <c r="R9" t="str">
        <f t="shared" si="0"/>
        <v>High</v>
      </c>
      <c r="S9" t="str">
        <f t="shared" si="1"/>
        <v>Completed</v>
      </c>
      <c r="T9">
        <f t="shared" si="2"/>
        <v>7009.0999999999995</v>
      </c>
      <c r="U9">
        <f t="shared" si="3"/>
        <v>0</v>
      </c>
    </row>
    <row r="10" spans="1:21">
      <c r="A10" t="s">
        <v>43</v>
      </c>
      <c r="B10" s="2">
        <v>46267</v>
      </c>
      <c r="C10" t="s">
        <v>18</v>
      </c>
      <c r="D10" t="s">
        <v>32</v>
      </c>
      <c r="E10">
        <v>52</v>
      </c>
      <c r="F10" s="3">
        <v>4223</v>
      </c>
      <c r="G10" s="4">
        <v>10</v>
      </c>
      <c r="H10">
        <v>2</v>
      </c>
      <c r="I10">
        <v>3</v>
      </c>
      <c r="J10" t="s">
        <v>33</v>
      </c>
      <c r="K10">
        <v>4</v>
      </c>
      <c r="L10" t="s">
        <v>21</v>
      </c>
      <c r="M10" t="s">
        <v>21</v>
      </c>
      <c r="N10" s="5">
        <v>9.3000000000000007</v>
      </c>
      <c r="O10" t="s">
        <v>22</v>
      </c>
      <c r="P10" t="str">
        <f>IF(I10&gt;H10,"Late","On Time")</f>
        <v>Late</v>
      </c>
      <c r="Q10">
        <f>MAX(0,I10-H10)</f>
        <v>1</v>
      </c>
      <c r="R10" t="str">
        <f t="shared" si="0"/>
        <v>High</v>
      </c>
      <c r="S10" t="str">
        <f t="shared" si="1"/>
        <v>Completed</v>
      </c>
      <c r="T10">
        <f t="shared" si="2"/>
        <v>3800.7000000000003</v>
      </c>
      <c r="U10">
        <f t="shared" si="3"/>
        <v>1</v>
      </c>
    </row>
    <row r="11" spans="1:21">
      <c r="A11" t="s">
        <v>44</v>
      </c>
      <c r="B11" s="2">
        <v>46266</v>
      </c>
      <c r="C11" t="s">
        <v>18</v>
      </c>
      <c r="D11" t="s">
        <v>38</v>
      </c>
      <c r="E11">
        <v>37</v>
      </c>
      <c r="F11" s="3">
        <v>250</v>
      </c>
      <c r="G11" s="4">
        <v>25</v>
      </c>
      <c r="H11">
        <v>4</v>
      </c>
      <c r="I11">
        <v>5</v>
      </c>
      <c r="J11" t="s">
        <v>30</v>
      </c>
      <c r="K11">
        <v>4</v>
      </c>
      <c r="L11" t="s">
        <v>21</v>
      </c>
      <c r="M11" t="s">
        <v>21</v>
      </c>
      <c r="N11" s="5">
        <v>17.600000000000001</v>
      </c>
      <c r="O11" t="s">
        <v>27</v>
      </c>
      <c r="P11" t="str">
        <f>IF(I11&gt;H11,"Late","On Time")</f>
        <v>Late</v>
      </c>
      <c r="Q11">
        <f>MAX(0,I11-H11)</f>
        <v>1</v>
      </c>
      <c r="R11" t="str">
        <f t="shared" si="0"/>
        <v>High</v>
      </c>
      <c r="S11" t="str">
        <f t="shared" si="1"/>
        <v>Completed</v>
      </c>
      <c r="T11">
        <f t="shared" si="2"/>
        <v>187.5</v>
      </c>
      <c r="U11">
        <f t="shared" si="3"/>
        <v>1</v>
      </c>
    </row>
    <row r="12" spans="1:21">
      <c r="A12" t="s">
        <v>45</v>
      </c>
      <c r="B12" s="2">
        <v>46243</v>
      </c>
      <c r="C12" t="s">
        <v>18</v>
      </c>
      <c r="D12" t="s">
        <v>19</v>
      </c>
      <c r="E12">
        <v>41</v>
      </c>
      <c r="F12" s="3">
        <v>7614</v>
      </c>
      <c r="G12" s="4">
        <v>10</v>
      </c>
      <c r="H12">
        <v>3</v>
      </c>
      <c r="I12">
        <v>2</v>
      </c>
      <c r="J12" t="s">
        <v>33</v>
      </c>
      <c r="K12">
        <v>4</v>
      </c>
      <c r="L12" t="s">
        <v>21</v>
      </c>
      <c r="M12" t="s">
        <v>21</v>
      </c>
      <c r="N12" s="5">
        <v>3</v>
      </c>
      <c r="O12" t="s">
        <v>22</v>
      </c>
      <c r="P12" t="str">
        <f>IF(I12&gt;H12,"Late","On Time")</f>
        <v>On Time</v>
      </c>
      <c r="Q12">
        <f>MAX(0,I12-H12)</f>
        <v>0</v>
      </c>
      <c r="R12" t="str">
        <f t="shared" si="0"/>
        <v>High</v>
      </c>
      <c r="S12" t="str">
        <f t="shared" si="1"/>
        <v>Completed</v>
      </c>
      <c r="T12">
        <f t="shared" si="2"/>
        <v>6852.6</v>
      </c>
      <c r="U12">
        <f t="shared" si="3"/>
        <v>0</v>
      </c>
    </row>
    <row r="13" spans="1:21">
      <c r="A13" t="s">
        <v>46</v>
      </c>
      <c r="B13" s="2">
        <v>46277</v>
      </c>
      <c r="C13" t="s">
        <v>41</v>
      </c>
      <c r="D13" t="s">
        <v>47</v>
      </c>
      <c r="E13">
        <v>28</v>
      </c>
      <c r="F13" s="3">
        <v>1036</v>
      </c>
      <c r="G13" s="4">
        <v>10</v>
      </c>
      <c r="H13">
        <v>4</v>
      </c>
      <c r="I13">
        <v>4</v>
      </c>
      <c r="J13" t="s">
        <v>39</v>
      </c>
      <c r="K13">
        <v>5</v>
      </c>
      <c r="L13" t="s">
        <v>21</v>
      </c>
      <c r="M13" t="s">
        <v>21</v>
      </c>
      <c r="N13" s="5">
        <v>24.6</v>
      </c>
      <c r="O13" t="s">
        <v>22</v>
      </c>
      <c r="P13" t="str">
        <f>IF(I13&gt;H13,"Late","On Time")</f>
        <v>On Time</v>
      </c>
      <c r="Q13">
        <f>MAX(0,I13-H13)</f>
        <v>0</v>
      </c>
      <c r="R13" t="str">
        <f t="shared" si="0"/>
        <v>High</v>
      </c>
      <c r="S13" t="str">
        <f t="shared" si="1"/>
        <v>Completed</v>
      </c>
      <c r="T13">
        <f t="shared" si="2"/>
        <v>932.4</v>
      </c>
      <c r="U13">
        <f t="shared" si="3"/>
        <v>0</v>
      </c>
    </row>
    <row r="14" spans="1:21">
      <c r="A14" t="s">
        <v>48</v>
      </c>
      <c r="B14" s="2">
        <v>46256</v>
      </c>
      <c r="C14" t="s">
        <v>35</v>
      </c>
      <c r="D14" t="s">
        <v>25</v>
      </c>
      <c r="E14">
        <v>51</v>
      </c>
      <c r="F14" s="3">
        <v>647</v>
      </c>
      <c r="G14" s="4">
        <v>0</v>
      </c>
      <c r="H14">
        <v>2</v>
      </c>
      <c r="I14">
        <v>3</v>
      </c>
      <c r="J14" t="s">
        <v>26</v>
      </c>
      <c r="K14">
        <v>3</v>
      </c>
      <c r="L14" t="s">
        <v>21</v>
      </c>
      <c r="M14" t="s">
        <v>21</v>
      </c>
      <c r="N14" s="5">
        <v>2.1</v>
      </c>
      <c r="O14" t="s">
        <v>27</v>
      </c>
      <c r="P14" t="str">
        <f>IF(I14&gt;H14,"Late","On Time")</f>
        <v>Late</v>
      </c>
      <c r="Q14">
        <f>MAX(0,I14-H14)</f>
        <v>1</v>
      </c>
      <c r="R14" t="str">
        <f t="shared" si="0"/>
        <v>Medium</v>
      </c>
      <c r="S14" t="str">
        <f t="shared" si="1"/>
        <v>Completed</v>
      </c>
      <c r="T14">
        <f t="shared" si="2"/>
        <v>647</v>
      </c>
      <c r="U14">
        <f t="shared" si="3"/>
        <v>1</v>
      </c>
    </row>
    <row r="15" spans="1:21">
      <c r="A15" t="s">
        <v>49</v>
      </c>
      <c r="B15" s="2">
        <v>46257</v>
      </c>
      <c r="C15" t="s">
        <v>18</v>
      </c>
      <c r="D15" t="s">
        <v>47</v>
      </c>
      <c r="E15">
        <v>33</v>
      </c>
      <c r="F15" s="3">
        <v>4766</v>
      </c>
      <c r="G15" s="4">
        <v>10</v>
      </c>
      <c r="H15">
        <v>3</v>
      </c>
      <c r="I15">
        <v>6</v>
      </c>
      <c r="J15" t="s">
        <v>39</v>
      </c>
      <c r="K15">
        <v>2</v>
      </c>
      <c r="L15" t="s">
        <v>21</v>
      </c>
      <c r="M15" t="s">
        <v>21</v>
      </c>
      <c r="N15" s="5">
        <v>7.2</v>
      </c>
      <c r="O15" t="s">
        <v>27</v>
      </c>
      <c r="P15" t="str">
        <f>IF(I15&gt;H15,"Late","On Time")</f>
        <v>Late</v>
      </c>
      <c r="Q15">
        <f>MAX(0,I15-H15)</f>
        <v>3</v>
      </c>
      <c r="R15" t="str">
        <f t="shared" si="0"/>
        <v>Low</v>
      </c>
      <c r="S15" t="str">
        <f t="shared" si="1"/>
        <v>Completed</v>
      </c>
      <c r="T15">
        <f t="shared" si="2"/>
        <v>4289.4000000000005</v>
      </c>
      <c r="U15">
        <f t="shared" si="3"/>
        <v>1</v>
      </c>
    </row>
    <row r="16" spans="1:21">
      <c r="A16" t="s">
        <v>50</v>
      </c>
      <c r="B16" s="2">
        <v>46264</v>
      </c>
      <c r="C16" t="s">
        <v>41</v>
      </c>
      <c r="D16" t="s">
        <v>25</v>
      </c>
      <c r="E16">
        <v>47</v>
      </c>
      <c r="F16" s="3">
        <v>2862</v>
      </c>
      <c r="G16" s="4">
        <v>25</v>
      </c>
      <c r="H16">
        <v>2</v>
      </c>
      <c r="I16">
        <v>1</v>
      </c>
      <c r="J16" t="s">
        <v>30</v>
      </c>
      <c r="K16">
        <v>4</v>
      </c>
      <c r="L16" t="s">
        <v>21</v>
      </c>
      <c r="M16" t="s">
        <v>21</v>
      </c>
      <c r="N16" s="5">
        <v>3.1</v>
      </c>
      <c r="O16" t="s">
        <v>27</v>
      </c>
      <c r="P16" t="str">
        <f>IF(I16&gt;H16,"Late","On Time")</f>
        <v>On Time</v>
      </c>
      <c r="Q16">
        <f>MAX(0,I16-H16)</f>
        <v>0</v>
      </c>
      <c r="R16" t="str">
        <f t="shared" si="0"/>
        <v>High</v>
      </c>
      <c r="S16" t="str">
        <f t="shared" si="1"/>
        <v>Completed</v>
      </c>
      <c r="T16">
        <f t="shared" si="2"/>
        <v>2146.5</v>
      </c>
      <c r="U16">
        <f t="shared" si="3"/>
        <v>0</v>
      </c>
    </row>
    <row r="17" spans="1:21">
      <c r="A17" t="s">
        <v>51</v>
      </c>
      <c r="B17" s="2">
        <v>46261</v>
      </c>
      <c r="C17" t="s">
        <v>24</v>
      </c>
      <c r="D17" t="s">
        <v>38</v>
      </c>
      <c r="E17">
        <v>22</v>
      </c>
      <c r="F17" s="3">
        <v>1573</v>
      </c>
      <c r="G17" s="4">
        <v>15</v>
      </c>
      <c r="H17">
        <v>4</v>
      </c>
      <c r="I17">
        <v>5</v>
      </c>
      <c r="J17" t="s">
        <v>33</v>
      </c>
      <c r="K17">
        <v>4</v>
      </c>
      <c r="L17" t="s">
        <v>21</v>
      </c>
      <c r="M17" t="s">
        <v>21</v>
      </c>
      <c r="N17" s="5">
        <v>4.0999999999999996</v>
      </c>
      <c r="O17" t="s">
        <v>22</v>
      </c>
      <c r="P17" t="str">
        <f>IF(I17&gt;H17,"Late","On Time")</f>
        <v>Late</v>
      </c>
      <c r="Q17">
        <f>MAX(0,I17-H17)</f>
        <v>1</v>
      </c>
      <c r="R17" t="str">
        <f t="shared" si="0"/>
        <v>High</v>
      </c>
      <c r="S17" t="str">
        <f t="shared" si="1"/>
        <v>Completed</v>
      </c>
      <c r="T17">
        <f t="shared" si="2"/>
        <v>1337.05</v>
      </c>
      <c r="U17">
        <f t="shared" si="3"/>
        <v>1</v>
      </c>
    </row>
    <row r="18" spans="1:21">
      <c r="A18" t="s">
        <v>52</v>
      </c>
      <c r="B18" s="2">
        <v>46244</v>
      </c>
      <c r="C18" t="s">
        <v>41</v>
      </c>
      <c r="D18" t="s">
        <v>25</v>
      </c>
      <c r="E18">
        <v>31</v>
      </c>
      <c r="F18" s="3">
        <v>4307</v>
      </c>
      <c r="G18" s="4">
        <v>5</v>
      </c>
      <c r="H18">
        <v>3</v>
      </c>
      <c r="I18">
        <v>3</v>
      </c>
      <c r="J18" t="s">
        <v>39</v>
      </c>
      <c r="K18">
        <v>4</v>
      </c>
      <c r="L18" t="s">
        <v>21</v>
      </c>
      <c r="M18" t="s">
        <v>21</v>
      </c>
      <c r="N18" s="5">
        <v>1.6</v>
      </c>
      <c r="O18" t="s">
        <v>22</v>
      </c>
      <c r="P18" t="str">
        <f>IF(I18&gt;H18,"Late","On Time")</f>
        <v>On Time</v>
      </c>
      <c r="Q18">
        <f>MAX(0,I18-H18)</f>
        <v>0</v>
      </c>
      <c r="R18" t="str">
        <f t="shared" si="0"/>
        <v>High</v>
      </c>
      <c r="S18" t="str">
        <f t="shared" si="1"/>
        <v>Completed</v>
      </c>
      <c r="T18">
        <f t="shared" si="2"/>
        <v>4091.6499999999996</v>
      </c>
      <c r="U18">
        <f t="shared" si="3"/>
        <v>0</v>
      </c>
    </row>
    <row r="19" spans="1:21">
      <c r="A19" t="s">
        <v>53</v>
      </c>
      <c r="B19" s="2">
        <v>46238</v>
      </c>
      <c r="C19" t="s">
        <v>24</v>
      </c>
      <c r="D19" t="s">
        <v>29</v>
      </c>
      <c r="E19">
        <v>31</v>
      </c>
      <c r="F19" s="3">
        <v>340</v>
      </c>
      <c r="G19" s="4">
        <v>0</v>
      </c>
      <c r="H19">
        <v>4</v>
      </c>
      <c r="I19">
        <v>6</v>
      </c>
      <c r="J19" t="s">
        <v>33</v>
      </c>
      <c r="K19">
        <v>2</v>
      </c>
      <c r="L19" t="s">
        <v>21</v>
      </c>
      <c r="M19" t="s">
        <v>21</v>
      </c>
      <c r="N19" s="5">
        <v>21</v>
      </c>
      <c r="O19" t="s">
        <v>22</v>
      </c>
      <c r="P19" t="str">
        <f>IF(I19&gt;H19,"Late","On Time")</f>
        <v>Late</v>
      </c>
      <c r="Q19">
        <f>MAX(0,I19-H19)</f>
        <v>2</v>
      </c>
      <c r="R19" t="str">
        <f t="shared" si="0"/>
        <v>Low</v>
      </c>
      <c r="S19" t="str">
        <f t="shared" si="1"/>
        <v>Completed</v>
      </c>
      <c r="T19">
        <f t="shared" si="2"/>
        <v>340</v>
      </c>
      <c r="U19">
        <f t="shared" si="3"/>
        <v>1</v>
      </c>
    </row>
    <row r="20" spans="1:21">
      <c r="A20" t="s">
        <v>54</v>
      </c>
      <c r="B20" s="2">
        <v>46268</v>
      </c>
      <c r="C20" t="s">
        <v>55</v>
      </c>
      <c r="D20" t="s">
        <v>19</v>
      </c>
      <c r="E20">
        <v>29</v>
      </c>
      <c r="F20" s="3">
        <v>1604</v>
      </c>
      <c r="G20" s="4">
        <v>5</v>
      </c>
      <c r="H20">
        <v>2</v>
      </c>
      <c r="I20">
        <v>2</v>
      </c>
      <c r="J20" t="s">
        <v>20</v>
      </c>
      <c r="K20">
        <v>5</v>
      </c>
      <c r="L20" t="s">
        <v>56</v>
      </c>
      <c r="M20" t="s">
        <v>21</v>
      </c>
      <c r="N20" s="5">
        <v>4.7</v>
      </c>
      <c r="O20" t="s">
        <v>22</v>
      </c>
      <c r="P20" t="str">
        <f>IF(I20&gt;H20,"Late","On Time")</f>
        <v>On Time</v>
      </c>
      <c r="Q20">
        <f>MAX(0,I20-H20)</f>
        <v>0</v>
      </c>
      <c r="R20" t="str">
        <f t="shared" si="0"/>
        <v>High</v>
      </c>
      <c r="S20" t="str">
        <f t="shared" si="1"/>
        <v>Cancelled</v>
      </c>
      <c r="T20">
        <f t="shared" si="2"/>
        <v>1523.8</v>
      </c>
      <c r="U20">
        <f t="shared" si="3"/>
        <v>0</v>
      </c>
    </row>
    <row r="21" spans="1:21">
      <c r="A21" t="s">
        <v>57</v>
      </c>
      <c r="B21" s="2">
        <v>46271</v>
      </c>
      <c r="C21" t="s">
        <v>35</v>
      </c>
      <c r="D21" t="s">
        <v>29</v>
      </c>
      <c r="E21">
        <v>31</v>
      </c>
      <c r="F21" s="3">
        <v>954</v>
      </c>
      <c r="G21" s="4">
        <v>25</v>
      </c>
      <c r="H21">
        <v>2</v>
      </c>
      <c r="I21">
        <v>2</v>
      </c>
      <c r="J21" t="s">
        <v>20</v>
      </c>
      <c r="K21">
        <v>4</v>
      </c>
      <c r="L21" t="s">
        <v>21</v>
      </c>
      <c r="M21" t="s">
        <v>21</v>
      </c>
      <c r="N21" s="5">
        <v>7.8</v>
      </c>
      <c r="O21" t="s">
        <v>27</v>
      </c>
      <c r="P21" t="str">
        <f>IF(I21&gt;H21,"Late","On Time")</f>
        <v>On Time</v>
      </c>
      <c r="Q21">
        <f>MAX(0,I21-H21)</f>
        <v>0</v>
      </c>
      <c r="R21" t="str">
        <f t="shared" si="0"/>
        <v>High</v>
      </c>
      <c r="S21" t="str">
        <f t="shared" si="1"/>
        <v>Completed</v>
      </c>
      <c r="T21">
        <f t="shared" si="2"/>
        <v>715.5</v>
      </c>
      <c r="U21">
        <f t="shared" si="3"/>
        <v>0</v>
      </c>
    </row>
    <row r="22" spans="1:21">
      <c r="A22" t="s">
        <v>58</v>
      </c>
      <c r="B22" s="2">
        <v>46235</v>
      </c>
      <c r="C22" t="s">
        <v>18</v>
      </c>
      <c r="D22" t="s">
        <v>19</v>
      </c>
      <c r="E22">
        <v>52</v>
      </c>
      <c r="F22" s="3">
        <v>4650</v>
      </c>
      <c r="G22" s="4">
        <v>10</v>
      </c>
      <c r="H22">
        <v>2</v>
      </c>
      <c r="I22">
        <v>2</v>
      </c>
      <c r="J22" t="s">
        <v>20</v>
      </c>
      <c r="K22">
        <v>4</v>
      </c>
      <c r="L22" t="s">
        <v>21</v>
      </c>
      <c r="M22" t="s">
        <v>21</v>
      </c>
      <c r="N22" s="5">
        <v>24.8</v>
      </c>
      <c r="O22" t="s">
        <v>59</v>
      </c>
      <c r="P22" t="str">
        <f>IF(I22&gt;H22,"Late","On Time")</f>
        <v>On Time</v>
      </c>
      <c r="Q22">
        <f>MAX(0,I22-H22)</f>
        <v>0</v>
      </c>
      <c r="R22" t="str">
        <f t="shared" si="0"/>
        <v>High</v>
      </c>
      <c r="S22" t="str">
        <f t="shared" si="1"/>
        <v>Completed</v>
      </c>
      <c r="T22">
        <f t="shared" si="2"/>
        <v>4185</v>
      </c>
      <c r="U22">
        <f t="shared" si="3"/>
        <v>0</v>
      </c>
    </row>
    <row r="23" spans="1:21">
      <c r="A23" t="s">
        <v>60</v>
      </c>
      <c r="B23" s="2">
        <v>46267</v>
      </c>
      <c r="C23" t="s">
        <v>55</v>
      </c>
      <c r="D23" t="s">
        <v>29</v>
      </c>
      <c r="E23">
        <v>24</v>
      </c>
      <c r="F23" s="3">
        <v>1858</v>
      </c>
      <c r="G23" s="4">
        <v>5</v>
      </c>
      <c r="H23">
        <v>2</v>
      </c>
      <c r="I23">
        <v>3</v>
      </c>
      <c r="J23" t="s">
        <v>30</v>
      </c>
      <c r="K23">
        <v>4</v>
      </c>
      <c r="L23" t="s">
        <v>21</v>
      </c>
      <c r="M23" t="s">
        <v>21</v>
      </c>
      <c r="N23" s="5">
        <v>4.5999999999999996</v>
      </c>
      <c r="O23" t="s">
        <v>27</v>
      </c>
      <c r="P23" t="str">
        <f>IF(I23&gt;H23,"Late","On Time")</f>
        <v>Late</v>
      </c>
      <c r="Q23">
        <f>MAX(0,I23-H23)</f>
        <v>1</v>
      </c>
      <c r="R23" t="str">
        <f t="shared" si="0"/>
        <v>High</v>
      </c>
      <c r="S23" t="str">
        <f t="shared" si="1"/>
        <v>Completed</v>
      </c>
      <c r="T23">
        <f t="shared" si="2"/>
        <v>1765.1</v>
      </c>
      <c r="U23">
        <f t="shared" si="3"/>
        <v>1</v>
      </c>
    </row>
    <row r="24" spans="1:21">
      <c r="A24" t="s">
        <v>61</v>
      </c>
      <c r="B24" s="2">
        <v>46239</v>
      </c>
      <c r="C24" t="s">
        <v>41</v>
      </c>
      <c r="D24" t="s">
        <v>29</v>
      </c>
      <c r="E24">
        <v>21</v>
      </c>
      <c r="F24" s="3">
        <v>3653</v>
      </c>
      <c r="G24" s="4">
        <v>10</v>
      </c>
      <c r="H24">
        <v>2</v>
      </c>
      <c r="I24">
        <v>2</v>
      </c>
      <c r="J24" t="s">
        <v>26</v>
      </c>
      <c r="K24">
        <v>4</v>
      </c>
      <c r="L24" t="s">
        <v>21</v>
      </c>
      <c r="M24" t="s">
        <v>21</v>
      </c>
      <c r="N24" s="5">
        <v>1.6</v>
      </c>
      <c r="O24" t="s">
        <v>22</v>
      </c>
      <c r="P24" t="str">
        <f>IF(I24&gt;H24,"Late","On Time")</f>
        <v>On Time</v>
      </c>
      <c r="Q24">
        <f>MAX(0,I24-H24)</f>
        <v>0</v>
      </c>
      <c r="R24" t="str">
        <f t="shared" si="0"/>
        <v>High</v>
      </c>
      <c r="S24" t="str">
        <f t="shared" si="1"/>
        <v>Completed</v>
      </c>
      <c r="T24">
        <f t="shared" si="2"/>
        <v>3287.7000000000003</v>
      </c>
      <c r="U24">
        <f t="shared" si="3"/>
        <v>0</v>
      </c>
    </row>
    <row r="25" spans="1:21">
      <c r="A25" t="s">
        <v>62</v>
      </c>
      <c r="B25" s="2">
        <v>46248</v>
      </c>
      <c r="C25" t="s">
        <v>24</v>
      </c>
      <c r="D25" t="s">
        <v>47</v>
      </c>
      <c r="E25">
        <v>20</v>
      </c>
      <c r="F25" s="3">
        <v>2317</v>
      </c>
      <c r="G25" s="4">
        <v>10</v>
      </c>
      <c r="H25">
        <v>4</v>
      </c>
      <c r="I25">
        <v>3</v>
      </c>
      <c r="J25" t="s">
        <v>30</v>
      </c>
      <c r="K25">
        <v>4</v>
      </c>
      <c r="L25" t="s">
        <v>21</v>
      </c>
      <c r="M25" t="s">
        <v>21</v>
      </c>
      <c r="N25" s="5">
        <v>16.100000000000001</v>
      </c>
      <c r="O25" t="s">
        <v>22</v>
      </c>
      <c r="P25" t="str">
        <f>IF(I25&gt;H25,"Late","On Time")</f>
        <v>On Time</v>
      </c>
      <c r="Q25">
        <f>MAX(0,I25-H25)</f>
        <v>0</v>
      </c>
      <c r="R25" t="str">
        <f t="shared" si="0"/>
        <v>High</v>
      </c>
      <c r="S25" t="str">
        <f t="shared" si="1"/>
        <v>Completed</v>
      </c>
      <c r="T25">
        <f t="shared" si="2"/>
        <v>2085.3000000000002</v>
      </c>
      <c r="U25">
        <f t="shared" si="3"/>
        <v>0</v>
      </c>
    </row>
    <row r="26" spans="1:21">
      <c r="A26" t="s">
        <v>63</v>
      </c>
      <c r="B26" s="2">
        <v>46246</v>
      </c>
      <c r="C26" t="s">
        <v>24</v>
      </c>
      <c r="D26" t="s">
        <v>32</v>
      </c>
      <c r="E26">
        <v>24</v>
      </c>
      <c r="F26" s="3">
        <v>1100</v>
      </c>
      <c r="G26" s="4">
        <v>15</v>
      </c>
      <c r="H26">
        <v>4</v>
      </c>
      <c r="I26">
        <v>4</v>
      </c>
      <c r="J26" t="s">
        <v>26</v>
      </c>
      <c r="K26">
        <v>5</v>
      </c>
      <c r="L26" t="s">
        <v>21</v>
      </c>
      <c r="M26" t="s">
        <v>21</v>
      </c>
      <c r="N26" s="5">
        <v>21.4</v>
      </c>
      <c r="O26" t="s">
        <v>22</v>
      </c>
      <c r="P26" t="str">
        <f>IF(I26&gt;H26,"Late","On Time")</f>
        <v>On Time</v>
      </c>
      <c r="Q26">
        <f>MAX(0,I26-H26)</f>
        <v>0</v>
      </c>
      <c r="R26" t="str">
        <f t="shared" si="0"/>
        <v>High</v>
      </c>
      <c r="S26" t="str">
        <f t="shared" si="1"/>
        <v>Completed</v>
      </c>
      <c r="T26">
        <f t="shared" si="2"/>
        <v>935</v>
      </c>
      <c r="U26">
        <f t="shared" si="3"/>
        <v>0</v>
      </c>
    </row>
    <row r="27" spans="1:21">
      <c r="A27" t="s">
        <v>64</v>
      </c>
      <c r="B27" s="2">
        <v>46257</v>
      </c>
      <c r="C27" t="s">
        <v>35</v>
      </c>
      <c r="D27" t="s">
        <v>38</v>
      </c>
      <c r="E27">
        <v>44</v>
      </c>
      <c r="F27" s="3">
        <v>1256</v>
      </c>
      <c r="G27" s="4">
        <v>25</v>
      </c>
      <c r="H27">
        <v>2</v>
      </c>
      <c r="I27">
        <v>1</v>
      </c>
      <c r="J27" t="s">
        <v>39</v>
      </c>
      <c r="K27">
        <v>4</v>
      </c>
      <c r="L27" t="s">
        <v>56</v>
      </c>
      <c r="M27" t="s">
        <v>21</v>
      </c>
      <c r="N27" s="5">
        <v>8.6</v>
      </c>
      <c r="O27" t="s">
        <v>27</v>
      </c>
      <c r="P27" t="str">
        <f>IF(I27&gt;H27,"Late","On Time")</f>
        <v>On Time</v>
      </c>
      <c r="Q27">
        <f>MAX(0,I27-H27)</f>
        <v>0</v>
      </c>
      <c r="R27" t="str">
        <f t="shared" si="0"/>
        <v>High</v>
      </c>
      <c r="S27" t="str">
        <f t="shared" si="1"/>
        <v>Cancelled</v>
      </c>
      <c r="T27">
        <f t="shared" si="2"/>
        <v>942</v>
      </c>
      <c r="U27">
        <f t="shared" si="3"/>
        <v>0</v>
      </c>
    </row>
    <row r="28" spans="1:21">
      <c r="A28" t="s">
        <v>65</v>
      </c>
      <c r="B28" s="2">
        <v>46236</v>
      </c>
      <c r="C28" t="s">
        <v>35</v>
      </c>
      <c r="D28" t="s">
        <v>38</v>
      </c>
      <c r="E28">
        <v>32</v>
      </c>
      <c r="F28" s="3">
        <v>987</v>
      </c>
      <c r="G28" s="4">
        <v>15</v>
      </c>
      <c r="H28">
        <v>2</v>
      </c>
      <c r="I28">
        <v>4</v>
      </c>
      <c r="J28" t="s">
        <v>30</v>
      </c>
      <c r="K28">
        <v>3</v>
      </c>
      <c r="L28" t="s">
        <v>21</v>
      </c>
      <c r="M28" t="s">
        <v>21</v>
      </c>
      <c r="N28" s="5">
        <v>8.9</v>
      </c>
      <c r="O28" t="s">
        <v>22</v>
      </c>
      <c r="P28" t="str">
        <f>IF(I28&gt;H28,"Late","On Time")</f>
        <v>Late</v>
      </c>
      <c r="Q28">
        <f>MAX(0,I28-H28)</f>
        <v>2</v>
      </c>
      <c r="R28" t="str">
        <f t="shared" si="0"/>
        <v>Medium</v>
      </c>
      <c r="S28" t="str">
        <f t="shared" si="1"/>
        <v>Completed</v>
      </c>
      <c r="T28">
        <f t="shared" si="2"/>
        <v>838.94999999999993</v>
      </c>
      <c r="U28">
        <f t="shared" si="3"/>
        <v>1</v>
      </c>
    </row>
    <row r="29" spans="1:21">
      <c r="A29" t="s">
        <v>66</v>
      </c>
      <c r="B29" s="2">
        <v>46271</v>
      </c>
      <c r="C29" t="s">
        <v>18</v>
      </c>
      <c r="D29" t="s">
        <v>29</v>
      </c>
      <c r="E29">
        <v>29</v>
      </c>
      <c r="F29" s="3">
        <v>7819</v>
      </c>
      <c r="G29" s="4">
        <v>20</v>
      </c>
      <c r="H29">
        <v>3</v>
      </c>
      <c r="I29">
        <v>3</v>
      </c>
      <c r="J29" t="s">
        <v>39</v>
      </c>
      <c r="K29">
        <v>5</v>
      </c>
      <c r="L29" t="s">
        <v>21</v>
      </c>
      <c r="M29" t="s">
        <v>21</v>
      </c>
      <c r="N29" s="5">
        <v>2.5</v>
      </c>
      <c r="O29" t="s">
        <v>22</v>
      </c>
      <c r="P29" t="str">
        <f>IF(I29&gt;H29,"Late","On Time")</f>
        <v>On Time</v>
      </c>
      <c r="Q29">
        <f>MAX(0,I29-H29)</f>
        <v>0</v>
      </c>
      <c r="R29" t="str">
        <f t="shared" si="0"/>
        <v>High</v>
      </c>
      <c r="S29" t="str">
        <f t="shared" si="1"/>
        <v>Completed</v>
      </c>
      <c r="T29">
        <f t="shared" si="2"/>
        <v>6255.2000000000007</v>
      </c>
      <c r="U29">
        <f t="shared" si="3"/>
        <v>0</v>
      </c>
    </row>
    <row r="30" spans="1:21">
      <c r="A30" t="s">
        <v>67</v>
      </c>
      <c r="B30" s="2">
        <v>46254</v>
      </c>
      <c r="C30" t="s">
        <v>24</v>
      </c>
      <c r="D30" t="s">
        <v>29</v>
      </c>
      <c r="E30">
        <v>20</v>
      </c>
      <c r="F30" s="3">
        <v>1786</v>
      </c>
      <c r="G30" s="4">
        <v>20</v>
      </c>
      <c r="H30">
        <v>3</v>
      </c>
      <c r="I30">
        <v>5</v>
      </c>
      <c r="J30" t="s">
        <v>20</v>
      </c>
      <c r="K30">
        <v>3</v>
      </c>
      <c r="L30" t="s">
        <v>21</v>
      </c>
      <c r="M30" t="s">
        <v>21</v>
      </c>
      <c r="N30" s="5">
        <v>11.2</v>
      </c>
      <c r="O30" t="s">
        <v>59</v>
      </c>
      <c r="P30" t="str">
        <f>IF(I30&gt;H30,"Late","On Time")</f>
        <v>Late</v>
      </c>
      <c r="Q30">
        <f>MAX(0,I30-H30)</f>
        <v>2</v>
      </c>
      <c r="R30" t="str">
        <f t="shared" si="0"/>
        <v>Medium</v>
      </c>
      <c r="S30" t="str">
        <f t="shared" si="1"/>
        <v>Completed</v>
      </c>
      <c r="T30">
        <f t="shared" si="2"/>
        <v>1428.8000000000002</v>
      </c>
      <c r="U30">
        <f t="shared" si="3"/>
        <v>1</v>
      </c>
    </row>
    <row r="31" spans="1:21">
      <c r="A31" t="s">
        <v>68</v>
      </c>
      <c r="B31" s="2">
        <v>46235</v>
      </c>
      <c r="C31" t="s">
        <v>41</v>
      </c>
      <c r="D31" t="s">
        <v>29</v>
      </c>
      <c r="E31">
        <v>43</v>
      </c>
      <c r="F31" s="3">
        <v>2532</v>
      </c>
      <c r="G31" s="4">
        <v>25</v>
      </c>
      <c r="H31">
        <v>3</v>
      </c>
      <c r="I31">
        <v>6</v>
      </c>
      <c r="J31" t="s">
        <v>20</v>
      </c>
      <c r="K31">
        <v>3</v>
      </c>
      <c r="L31" t="s">
        <v>21</v>
      </c>
      <c r="M31" t="s">
        <v>21</v>
      </c>
      <c r="N31" s="5">
        <v>16.2</v>
      </c>
      <c r="O31" t="s">
        <v>27</v>
      </c>
      <c r="P31" t="str">
        <f>IF(I31&gt;H31,"Late","On Time")</f>
        <v>Late</v>
      </c>
      <c r="Q31">
        <f>MAX(0,I31-H31)</f>
        <v>3</v>
      </c>
      <c r="R31" t="str">
        <f t="shared" si="0"/>
        <v>Medium</v>
      </c>
      <c r="S31" t="str">
        <f t="shared" si="1"/>
        <v>Completed</v>
      </c>
      <c r="T31">
        <f t="shared" si="2"/>
        <v>1899</v>
      </c>
      <c r="U31">
        <f t="shared" si="3"/>
        <v>1</v>
      </c>
    </row>
    <row r="32" spans="1:21">
      <c r="A32" t="s">
        <v>69</v>
      </c>
      <c r="B32" s="2">
        <v>46253</v>
      </c>
      <c r="C32" t="s">
        <v>35</v>
      </c>
      <c r="D32" t="s">
        <v>29</v>
      </c>
      <c r="E32">
        <v>31</v>
      </c>
      <c r="F32" s="3">
        <v>483</v>
      </c>
      <c r="G32" s="4">
        <v>25</v>
      </c>
      <c r="H32">
        <v>2</v>
      </c>
      <c r="I32">
        <v>2</v>
      </c>
      <c r="J32" t="s">
        <v>26</v>
      </c>
      <c r="K32">
        <v>5</v>
      </c>
      <c r="L32" t="s">
        <v>21</v>
      </c>
      <c r="M32" t="s">
        <v>21</v>
      </c>
      <c r="N32" s="5">
        <v>13.8</v>
      </c>
      <c r="O32" t="s">
        <v>22</v>
      </c>
      <c r="P32" t="str">
        <f>IF(I32&gt;H32,"Late","On Time")</f>
        <v>On Time</v>
      </c>
      <c r="Q32">
        <f>MAX(0,I32-H32)</f>
        <v>0</v>
      </c>
      <c r="R32" t="str">
        <f t="shared" si="0"/>
        <v>High</v>
      </c>
      <c r="S32" t="str">
        <f t="shared" si="1"/>
        <v>Completed</v>
      </c>
      <c r="T32">
        <f t="shared" si="2"/>
        <v>362.25</v>
      </c>
      <c r="U32">
        <f t="shared" si="3"/>
        <v>0</v>
      </c>
    </row>
    <row r="33" spans="1:21">
      <c r="A33" t="s">
        <v>70</v>
      </c>
      <c r="B33" s="2">
        <v>46264</v>
      </c>
      <c r="C33" t="s">
        <v>55</v>
      </c>
      <c r="D33" t="s">
        <v>32</v>
      </c>
      <c r="E33">
        <v>39</v>
      </c>
      <c r="F33" s="3">
        <v>1736</v>
      </c>
      <c r="G33" s="4">
        <v>0</v>
      </c>
      <c r="H33">
        <v>2</v>
      </c>
      <c r="I33">
        <v>2</v>
      </c>
      <c r="J33" t="s">
        <v>26</v>
      </c>
      <c r="K33">
        <v>4</v>
      </c>
      <c r="L33" t="s">
        <v>21</v>
      </c>
      <c r="M33" t="s">
        <v>21</v>
      </c>
      <c r="N33" s="5">
        <v>19.3</v>
      </c>
      <c r="O33" t="s">
        <v>22</v>
      </c>
      <c r="P33" t="str">
        <f>IF(I33&gt;H33,"Late","On Time")</f>
        <v>On Time</v>
      </c>
      <c r="Q33">
        <f>MAX(0,I33-H33)</f>
        <v>0</v>
      </c>
      <c r="R33" t="str">
        <f t="shared" si="0"/>
        <v>High</v>
      </c>
      <c r="S33" t="str">
        <f t="shared" si="1"/>
        <v>Completed</v>
      </c>
      <c r="T33">
        <f t="shared" si="2"/>
        <v>1736</v>
      </c>
      <c r="U33">
        <f t="shared" si="3"/>
        <v>0</v>
      </c>
    </row>
    <row r="34" spans="1:21">
      <c r="A34" t="s">
        <v>71</v>
      </c>
      <c r="B34" s="2">
        <v>46246</v>
      </c>
      <c r="C34" t="s">
        <v>41</v>
      </c>
      <c r="D34" t="s">
        <v>32</v>
      </c>
      <c r="E34">
        <v>54</v>
      </c>
      <c r="F34" s="3">
        <v>3233</v>
      </c>
      <c r="G34" s="4">
        <v>15</v>
      </c>
      <c r="H34">
        <v>3</v>
      </c>
      <c r="I34">
        <v>2</v>
      </c>
      <c r="J34" t="s">
        <v>33</v>
      </c>
      <c r="K34">
        <v>5</v>
      </c>
      <c r="L34" t="s">
        <v>21</v>
      </c>
      <c r="M34" t="s">
        <v>21</v>
      </c>
      <c r="N34" s="5">
        <v>8</v>
      </c>
      <c r="O34" t="s">
        <v>22</v>
      </c>
      <c r="P34" t="str">
        <f>IF(I34&gt;H34,"Late","On Time")</f>
        <v>On Time</v>
      </c>
      <c r="Q34">
        <f>MAX(0,I34-H34)</f>
        <v>0</v>
      </c>
      <c r="R34" t="str">
        <f t="shared" si="0"/>
        <v>High</v>
      </c>
      <c r="S34" t="str">
        <f t="shared" si="1"/>
        <v>Completed</v>
      </c>
      <c r="T34">
        <f t="shared" si="2"/>
        <v>2748.0499999999997</v>
      </c>
      <c r="U34">
        <f t="shared" si="3"/>
        <v>0</v>
      </c>
    </row>
    <row r="35" spans="1:21">
      <c r="A35" t="s">
        <v>72</v>
      </c>
      <c r="B35" s="2">
        <v>46274</v>
      </c>
      <c r="C35" t="s">
        <v>55</v>
      </c>
      <c r="D35" t="s">
        <v>25</v>
      </c>
      <c r="E35">
        <v>21</v>
      </c>
      <c r="F35" s="3">
        <v>2270</v>
      </c>
      <c r="G35" s="4">
        <v>20</v>
      </c>
      <c r="H35">
        <v>2</v>
      </c>
      <c r="I35">
        <v>3</v>
      </c>
      <c r="J35" t="s">
        <v>39</v>
      </c>
      <c r="K35">
        <v>4</v>
      </c>
      <c r="L35" t="s">
        <v>21</v>
      </c>
      <c r="M35" t="s">
        <v>21</v>
      </c>
      <c r="N35" s="5">
        <v>25.8</v>
      </c>
      <c r="O35" t="s">
        <v>22</v>
      </c>
      <c r="P35" t="str">
        <f>IF(I35&gt;H35,"Late","On Time")</f>
        <v>Late</v>
      </c>
      <c r="Q35">
        <f>MAX(0,I35-H35)</f>
        <v>1</v>
      </c>
      <c r="R35" t="str">
        <f t="shared" si="0"/>
        <v>High</v>
      </c>
      <c r="S35" t="str">
        <f t="shared" si="1"/>
        <v>Completed</v>
      </c>
      <c r="T35">
        <f t="shared" si="2"/>
        <v>1816</v>
      </c>
      <c r="U35">
        <f t="shared" si="3"/>
        <v>1</v>
      </c>
    </row>
    <row r="36" spans="1:21">
      <c r="A36" t="s">
        <v>73</v>
      </c>
      <c r="B36" s="2">
        <v>46280</v>
      </c>
      <c r="C36" t="s">
        <v>55</v>
      </c>
      <c r="D36" t="s">
        <v>25</v>
      </c>
      <c r="E36">
        <v>53</v>
      </c>
      <c r="F36" s="3">
        <v>1066</v>
      </c>
      <c r="G36" s="4">
        <v>15</v>
      </c>
      <c r="H36">
        <v>2</v>
      </c>
      <c r="I36">
        <v>2</v>
      </c>
      <c r="J36" t="s">
        <v>26</v>
      </c>
      <c r="K36">
        <v>5</v>
      </c>
      <c r="L36" t="s">
        <v>21</v>
      </c>
      <c r="M36" t="s">
        <v>21</v>
      </c>
      <c r="N36" s="5">
        <v>8.4</v>
      </c>
      <c r="O36" t="s">
        <v>27</v>
      </c>
      <c r="P36" t="str">
        <f>IF(I36&gt;H36,"Late","On Time")</f>
        <v>On Time</v>
      </c>
      <c r="Q36">
        <f>MAX(0,I36-H36)</f>
        <v>0</v>
      </c>
      <c r="R36" t="str">
        <f t="shared" si="0"/>
        <v>High</v>
      </c>
      <c r="S36" t="str">
        <f t="shared" si="1"/>
        <v>Completed</v>
      </c>
      <c r="T36">
        <f t="shared" si="2"/>
        <v>906.1</v>
      </c>
      <c r="U36">
        <f t="shared" si="3"/>
        <v>0</v>
      </c>
    </row>
    <row r="37" spans="1:21">
      <c r="A37" t="s">
        <v>74</v>
      </c>
      <c r="B37" s="2">
        <v>46256</v>
      </c>
      <c r="C37" t="s">
        <v>35</v>
      </c>
      <c r="D37" t="s">
        <v>36</v>
      </c>
      <c r="E37">
        <v>35</v>
      </c>
      <c r="F37" s="3">
        <v>968</v>
      </c>
      <c r="G37" s="4">
        <v>10</v>
      </c>
      <c r="H37">
        <v>2</v>
      </c>
      <c r="I37">
        <v>3</v>
      </c>
      <c r="J37" t="s">
        <v>39</v>
      </c>
      <c r="K37">
        <v>3</v>
      </c>
      <c r="L37" t="s">
        <v>21</v>
      </c>
      <c r="M37" t="s">
        <v>21</v>
      </c>
      <c r="N37" s="5">
        <v>25.2</v>
      </c>
      <c r="O37" t="s">
        <v>27</v>
      </c>
      <c r="P37" t="str">
        <f>IF(I37&gt;H37,"Late","On Time")</f>
        <v>Late</v>
      </c>
      <c r="Q37">
        <f>MAX(0,I37-H37)</f>
        <v>1</v>
      </c>
      <c r="R37" t="str">
        <f t="shared" si="0"/>
        <v>Medium</v>
      </c>
      <c r="S37" t="str">
        <f t="shared" si="1"/>
        <v>Completed</v>
      </c>
      <c r="T37">
        <f t="shared" si="2"/>
        <v>871.2</v>
      </c>
      <c r="U37">
        <f t="shared" si="3"/>
        <v>1</v>
      </c>
    </row>
    <row r="38" spans="1:21">
      <c r="A38" t="s">
        <v>75</v>
      </c>
      <c r="B38" s="2">
        <v>46269</v>
      </c>
      <c r="C38" t="s">
        <v>55</v>
      </c>
      <c r="D38" t="s">
        <v>25</v>
      </c>
      <c r="E38">
        <v>44</v>
      </c>
      <c r="F38" s="3">
        <v>2449</v>
      </c>
      <c r="G38" s="4">
        <v>15</v>
      </c>
      <c r="H38">
        <v>3</v>
      </c>
      <c r="I38">
        <v>6</v>
      </c>
      <c r="J38" t="s">
        <v>39</v>
      </c>
      <c r="K38">
        <v>2</v>
      </c>
      <c r="L38" t="s">
        <v>21</v>
      </c>
      <c r="M38" t="s">
        <v>21</v>
      </c>
      <c r="N38" s="5">
        <v>26.6</v>
      </c>
      <c r="O38" t="s">
        <v>27</v>
      </c>
      <c r="P38" t="str">
        <f>IF(I38&gt;H38,"Late","On Time")</f>
        <v>Late</v>
      </c>
      <c r="Q38">
        <f>MAX(0,I38-H38)</f>
        <v>3</v>
      </c>
      <c r="R38" t="str">
        <f t="shared" si="0"/>
        <v>Low</v>
      </c>
      <c r="S38" t="str">
        <f t="shared" si="1"/>
        <v>Completed</v>
      </c>
      <c r="T38">
        <f t="shared" si="2"/>
        <v>2081.65</v>
      </c>
      <c r="U38">
        <f t="shared" si="3"/>
        <v>1</v>
      </c>
    </row>
    <row r="39" spans="1:21">
      <c r="A39" t="s">
        <v>76</v>
      </c>
      <c r="B39" s="2">
        <v>46243</v>
      </c>
      <c r="C39" t="s">
        <v>55</v>
      </c>
      <c r="D39" t="s">
        <v>38</v>
      </c>
      <c r="E39">
        <v>32</v>
      </c>
      <c r="F39" s="3">
        <v>1832</v>
      </c>
      <c r="G39" s="4">
        <v>15</v>
      </c>
      <c r="H39">
        <v>2</v>
      </c>
      <c r="I39">
        <v>2</v>
      </c>
      <c r="J39" t="s">
        <v>39</v>
      </c>
      <c r="K39">
        <v>4</v>
      </c>
      <c r="L39" t="s">
        <v>21</v>
      </c>
      <c r="M39" t="s">
        <v>21</v>
      </c>
      <c r="N39" s="5">
        <v>8.6999999999999993</v>
      </c>
      <c r="O39" t="s">
        <v>27</v>
      </c>
      <c r="P39" t="str">
        <f>IF(I39&gt;H39,"Late","On Time")</f>
        <v>On Time</v>
      </c>
      <c r="Q39">
        <f>MAX(0,I39-H39)</f>
        <v>0</v>
      </c>
      <c r="R39" t="str">
        <f t="shared" si="0"/>
        <v>High</v>
      </c>
      <c r="S39" t="str">
        <f t="shared" si="1"/>
        <v>Completed</v>
      </c>
      <c r="T39">
        <f t="shared" si="2"/>
        <v>1557.2</v>
      </c>
      <c r="U39">
        <f t="shared" si="3"/>
        <v>0</v>
      </c>
    </row>
    <row r="40" spans="1:21">
      <c r="A40" t="s">
        <v>77</v>
      </c>
      <c r="B40" s="2">
        <v>46283</v>
      </c>
      <c r="C40" t="s">
        <v>55</v>
      </c>
      <c r="D40" t="s">
        <v>47</v>
      </c>
      <c r="E40">
        <v>19</v>
      </c>
      <c r="F40" s="3">
        <v>2069</v>
      </c>
      <c r="G40" s="4">
        <v>25</v>
      </c>
      <c r="H40">
        <v>1</v>
      </c>
      <c r="I40">
        <v>1</v>
      </c>
      <c r="J40" t="s">
        <v>30</v>
      </c>
      <c r="K40">
        <v>4</v>
      </c>
      <c r="L40" t="s">
        <v>21</v>
      </c>
      <c r="M40" t="s">
        <v>21</v>
      </c>
      <c r="N40" s="5">
        <v>3.7</v>
      </c>
      <c r="O40" t="s">
        <v>27</v>
      </c>
      <c r="P40" t="str">
        <f>IF(I40&gt;H40,"Late","On Time")</f>
        <v>On Time</v>
      </c>
      <c r="Q40">
        <f>MAX(0,I40-H40)</f>
        <v>0</v>
      </c>
      <c r="R40" t="str">
        <f t="shared" si="0"/>
        <v>High</v>
      </c>
      <c r="S40" t="str">
        <f t="shared" si="1"/>
        <v>Completed</v>
      </c>
      <c r="T40">
        <f t="shared" si="2"/>
        <v>1551.75</v>
      </c>
      <c r="U40">
        <f t="shared" si="3"/>
        <v>0</v>
      </c>
    </row>
    <row r="41" spans="1:21">
      <c r="A41" t="s">
        <v>78</v>
      </c>
      <c r="B41" s="2">
        <v>46283</v>
      </c>
      <c r="C41" t="s">
        <v>41</v>
      </c>
      <c r="D41" t="s">
        <v>29</v>
      </c>
      <c r="E41">
        <v>44</v>
      </c>
      <c r="F41" s="3">
        <v>1713</v>
      </c>
      <c r="G41" s="4">
        <v>10</v>
      </c>
      <c r="H41">
        <v>2</v>
      </c>
      <c r="I41">
        <v>1</v>
      </c>
      <c r="J41" t="s">
        <v>26</v>
      </c>
      <c r="K41">
        <v>5</v>
      </c>
      <c r="L41" t="s">
        <v>21</v>
      </c>
      <c r="M41" t="s">
        <v>21</v>
      </c>
      <c r="N41" s="5">
        <v>14</v>
      </c>
      <c r="O41" t="s">
        <v>22</v>
      </c>
      <c r="P41" t="str">
        <f>IF(I41&gt;H41,"Late","On Time")</f>
        <v>On Time</v>
      </c>
      <c r="Q41">
        <f>MAX(0,I41-H41)</f>
        <v>0</v>
      </c>
      <c r="R41" t="str">
        <f t="shared" si="0"/>
        <v>High</v>
      </c>
      <c r="S41" t="str">
        <f t="shared" si="1"/>
        <v>Completed</v>
      </c>
      <c r="T41">
        <f t="shared" si="2"/>
        <v>1541.7</v>
      </c>
      <c r="U41">
        <f t="shared" si="3"/>
        <v>0</v>
      </c>
    </row>
    <row r="42" spans="1:21">
      <c r="A42" t="s">
        <v>79</v>
      </c>
      <c r="B42" s="2">
        <v>46245</v>
      </c>
      <c r="C42" t="s">
        <v>18</v>
      </c>
      <c r="D42" t="s">
        <v>36</v>
      </c>
      <c r="E42">
        <v>30</v>
      </c>
      <c r="F42" s="3">
        <v>6052</v>
      </c>
      <c r="G42" s="4">
        <v>5</v>
      </c>
      <c r="H42">
        <v>3</v>
      </c>
      <c r="I42">
        <v>4</v>
      </c>
      <c r="J42" t="s">
        <v>26</v>
      </c>
      <c r="K42">
        <v>4</v>
      </c>
      <c r="L42" t="s">
        <v>21</v>
      </c>
      <c r="M42" t="s">
        <v>21</v>
      </c>
      <c r="N42" s="5">
        <v>14</v>
      </c>
      <c r="O42" t="s">
        <v>22</v>
      </c>
      <c r="P42" t="str">
        <f>IF(I42&gt;H42,"Late","On Time")</f>
        <v>Late</v>
      </c>
      <c r="Q42">
        <f>MAX(0,I42-H42)</f>
        <v>1</v>
      </c>
      <c r="R42" t="str">
        <f t="shared" si="0"/>
        <v>High</v>
      </c>
      <c r="S42" t="str">
        <f t="shared" si="1"/>
        <v>Completed</v>
      </c>
      <c r="T42">
        <f t="shared" si="2"/>
        <v>5749.4</v>
      </c>
      <c r="U42">
        <f t="shared" si="3"/>
        <v>1</v>
      </c>
    </row>
    <row r="43" spans="1:21">
      <c r="A43" t="s">
        <v>80</v>
      </c>
      <c r="B43" s="2">
        <v>46241</v>
      </c>
      <c r="C43" t="s">
        <v>35</v>
      </c>
      <c r="D43" t="s">
        <v>19</v>
      </c>
      <c r="E43">
        <v>55</v>
      </c>
      <c r="F43" s="3">
        <v>486</v>
      </c>
      <c r="G43" s="4">
        <v>0</v>
      </c>
      <c r="H43">
        <v>2</v>
      </c>
      <c r="I43">
        <v>2</v>
      </c>
      <c r="J43" t="s">
        <v>33</v>
      </c>
      <c r="K43">
        <v>4</v>
      </c>
      <c r="L43" t="s">
        <v>21</v>
      </c>
      <c r="M43" t="s">
        <v>21</v>
      </c>
      <c r="N43" s="5">
        <v>16.8</v>
      </c>
      <c r="O43" t="s">
        <v>22</v>
      </c>
      <c r="P43" t="str">
        <f>IF(I43&gt;H43,"Late","On Time")</f>
        <v>On Time</v>
      </c>
      <c r="Q43">
        <f>MAX(0,I43-H43)</f>
        <v>0</v>
      </c>
      <c r="R43" t="str">
        <f t="shared" si="0"/>
        <v>High</v>
      </c>
      <c r="S43" t="str">
        <f t="shared" si="1"/>
        <v>Completed</v>
      </c>
      <c r="T43">
        <f t="shared" si="2"/>
        <v>486</v>
      </c>
      <c r="U43">
        <f t="shared" si="3"/>
        <v>0</v>
      </c>
    </row>
    <row r="44" spans="1:21">
      <c r="A44" t="s">
        <v>81</v>
      </c>
      <c r="B44" s="2">
        <v>46262</v>
      </c>
      <c r="C44" t="s">
        <v>35</v>
      </c>
      <c r="D44" t="s">
        <v>38</v>
      </c>
      <c r="E44">
        <v>25</v>
      </c>
      <c r="F44" s="3">
        <v>1029</v>
      </c>
      <c r="G44" s="4">
        <v>0</v>
      </c>
      <c r="H44">
        <v>2</v>
      </c>
      <c r="I44">
        <v>1</v>
      </c>
      <c r="J44" t="s">
        <v>26</v>
      </c>
      <c r="K44">
        <v>5</v>
      </c>
      <c r="L44" t="s">
        <v>21</v>
      </c>
      <c r="M44" t="s">
        <v>21</v>
      </c>
      <c r="N44" s="5">
        <v>15.6</v>
      </c>
      <c r="O44" t="s">
        <v>22</v>
      </c>
      <c r="P44" t="str">
        <f>IF(I44&gt;H44,"Late","On Time")</f>
        <v>On Time</v>
      </c>
      <c r="Q44">
        <f>MAX(0,I44-H44)</f>
        <v>0</v>
      </c>
      <c r="R44" t="str">
        <f t="shared" si="0"/>
        <v>High</v>
      </c>
      <c r="S44" t="str">
        <f t="shared" si="1"/>
        <v>Completed</v>
      </c>
      <c r="T44">
        <f t="shared" si="2"/>
        <v>1029</v>
      </c>
      <c r="U44">
        <f t="shared" si="3"/>
        <v>0</v>
      </c>
    </row>
    <row r="45" spans="1:21">
      <c r="A45" t="s">
        <v>82</v>
      </c>
      <c r="B45" s="2">
        <v>46252</v>
      </c>
      <c r="C45" t="s">
        <v>35</v>
      </c>
      <c r="D45" t="s">
        <v>32</v>
      </c>
      <c r="E45">
        <v>47</v>
      </c>
      <c r="F45" s="3">
        <v>466</v>
      </c>
      <c r="G45" s="4">
        <v>25</v>
      </c>
      <c r="H45">
        <v>2</v>
      </c>
      <c r="I45">
        <v>2</v>
      </c>
      <c r="J45" t="s">
        <v>20</v>
      </c>
      <c r="K45">
        <v>5</v>
      </c>
      <c r="L45" t="s">
        <v>21</v>
      </c>
      <c r="M45" t="s">
        <v>21</v>
      </c>
      <c r="N45" s="5">
        <v>13</v>
      </c>
      <c r="O45" t="s">
        <v>27</v>
      </c>
      <c r="P45" t="str">
        <f>IF(I45&gt;H45,"Late","On Time")</f>
        <v>On Time</v>
      </c>
      <c r="Q45">
        <f>MAX(0,I45-H45)</f>
        <v>0</v>
      </c>
      <c r="R45" t="str">
        <f t="shared" si="0"/>
        <v>High</v>
      </c>
      <c r="S45" t="str">
        <f t="shared" si="1"/>
        <v>Completed</v>
      </c>
      <c r="T45">
        <f t="shared" si="2"/>
        <v>349.5</v>
      </c>
      <c r="U45">
        <f t="shared" si="3"/>
        <v>0</v>
      </c>
    </row>
    <row r="46" spans="1:21">
      <c r="A46" t="s">
        <v>83</v>
      </c>
      <c r="B46" s="2">
        <v>46251</v>
      </c>
      <c r="C46" t="s">
        <v>35</v>
      </c>
      <c r="D46" t="s">
        <v>38</v>
      </c>
      <c r="E46">
        <v>33</v>
      </c>
      <c r="F46" s="3">
        <v>972</v>
      </c>
      <c r="G46" s="4">
        <v>15</v>
      </c>
      <c r="H46">
        <v>2</v>
      </c>
      <c r="I46">
        <v>2</v>
      </c>
      <c r="J46" t="s">
        <v>30</v>
      </c>
      <c r="K46">
        <v>4</v>
      </c>
      <c r="L46" t="s">
        <v>21</v>
      </c>
      <c r="M46" t="s">
        <v>21</v>
      </c>
      <c r="N46" s="5">
        <v>21.4</v>
      </c>
      <c r="O46" t="s">
        <v>27</v>
      </c>
      <c r="P46" t="str">
        <f>IF(I46&gt;H46,"Late","On Time")</f>
        <v>On Time</v>
      </c>
      <c r="Q46">
        <f>MAX(0,I46-H46)</f>
        <v>0</v>
      </c>
      <c r="R46" t="str">
        <f t="shared" si="0"/>
        <v>High</v>
      </c>
      <c r="S46" t="str">
        <f t="shared" si="1"/>
        <v>Completed</v>
      </c>
      <c r="T46">
        <f t="shared" si="2"/>
        <v>826.19999999999993</v>
      </c>
      <c r="U46">
        <f t="shared" si="3"/>
        <v>0</v>
      </c>
    </row>
    <row r="47" spans="1:21">
      <c r="A47" t="s">
        <v>84</v>
      </c>
      <c r="B47" s="2">
        <v>46263</v>
      </c>
      <c r="C47" t="s">
        <v>35</v>
      </c>
      <c r="D47" t="s">
        <v>29</v>
      </c>
      <c r="E47">
        <v>35</v>
      </c>
      <c r="F47" s="3">
        <v>769</v>
      </c>
      <c r="G47" s="4">
        <v>20</v>
      </c>
      <c r="H47">
        <v>1</v>
      </c>
      <c r="I47">
        <v>2</v>
      </c>
      <c r="J47" t="s">
        <v>39</v>
      </c>
      <c r="K47">
        <v>4</v>
      </c>
      <c r="L47" t="s">
        <v>21</v>
      </c>
      <c r="M47" t="s">
        <v>21</v>
      </c>
      <c r="N47" s="5">
        <v>15.2</v>
      </c>
      <c r="O47" t="s">
        <v>22</v>
      </c>
      <c r="P47" t="str">
        <f>IF(I47&gt;H47,"Late","On Time")</f>
        <v>Late</v>
      </c>
      <c r="Q47">
        <f>MAX(0,I47-H47)</f>
        <v>1</v>
      </c>
      <c r="R47" t="str">
        <f t="shared" si="0"/>
        <v>High</v>
      </c>
      <c r="S47" t="str">
        <f t="shared" si="1"/>
        <v>Completed</v>
      </c>
      <c r="T47">
        <f t="shared" si="2"/>
        <v>615.20000000000005</v>
      </c>
      <c r="U47">
        <f t="shared" si="3"/>
        <v>1</v>
      </c>
    </row>
    <row r="48" spans="1:21">
      <c r="A48" t="s">
        <v>85</v>
      </c>
      <c r="B48" s="2">
        <v>46254</v>
      </c>
      <c r="C48" t="s">
        <v>18</v>
      </c>
      <c r="D48" t="s">
        <v>19</v>
      </c>
      <c r="E48">
        <v>36</v>
      </c>
      <c r="F48" s="3">
        <v>4880</v>
      </c>
      <c r="G48" s="4">
        <v>10</v>
      </c>
      <c r="H48">
        <v>4</v>
      </c>
      <c r="I48">
        <v>4</v>
      </c>
      <c r="J48" t="s">
        <v>30</v>
      </c>
      <c r="K48">
        <v>4</v>
      </c>
      <c r="L48" t="s">
        <v>21</v>
      </c>
      <c r="M48" t="s">
        <v>21</v>
      </c>
      <c r="N48" s="5">
        <v>11.3</v>
      </c>
      <c r="O48" t="s">
        <v>22</v>
      </c>
      <c r="P48" t="str">
        <f>IF(I48&gt;H48,"Late","On Time")</f>
        <v>On Time</v>
      </c>
      <c r="Q48">
        <f>MAX(0,I48-H48)</f>
        <v>0</v>
      </c>
      <c r="R48" t="str">
        <f t="shared" si="0"/>
        <v>High</v>
      </c>
      <c r="S48" t="str">
        <f t="shared" si="1"/>
        <v>Completed</v>
      </c>
      <c r="T48">
        <f t="shared" si="2"/>
        <v>4392</v>
      </c>
      <c r="U48">
        <f t="shared" si="3"/>
        <v>0</v>
      </c>
    </row>
    <row r="49" spans="1:21">
      <c r="A49" t="s">
        <v>86</v>
      </c>
      <c r="B49" s="2">
        <v>46273</v>
      </c>
      <c r="C49" t="s">
        <v>35</v>
      </c>
      <c r="D49" t="s">
        <v>36</v>
      </c>
      <c r="E49">
        <v>25</v>
      </c>
      <c r="F49" s="3">
        <v>1428</v>
      </c>
      <c r="G49" s="4">
        <v>25</v>
      </c>
      <c r="H49">
        <v>2</v>
      </c>
      <c r="I49">
        <v>2</v>
      </c>
      <c r="J49" t="s">
        <v>20</v>
      </c>
      <c r="K49">
        <v>4</v>
      </c>
      <c r="L49" t="s">
        <v>21</v>
      </c>
      <c r="M49" t="s">
        <v>21</v>
      </c>
      <c r="N49" s="5">
        <v>9.9</v>
      </c>
      <c r="O49" t="s">
        <v>22</v>
      </c>
      <c r="P49" t="str">
        <f>IF(I49&gt;H49,"Late","On Time")</f>
        <v>On Time</v>
      </c>
      <c r="Q49">
        <f>MAX(0,I49-H49)</f>
        <v>0</v>
      </c>
      <c r="R49" t="str">
        <f t="shared" si="0"/>
        <v>High</v>
      </c>
      <c r="S49" t="str">
        <f t="shared" si="1"/>
        <v>Completed</v>
      </c>
      <c r="T49">
        <f t="shared" si="2"/>
        <v>1071</v>
      </c>
      <c r="U49">
        <f t="shared" si="3"/>
        <v>0</v>
      </c>
    </row>
    <row r="50" spans="1:21">
      <c r="A50" t="s">
        <v>87</v>
      </c>
      <c r="B50" s="2">
        <v>46241</v>
      </c>
      <c r="C50" t="s">
        <v>35</v>
      </c>
      <c r="D50" t="s">
        <v>19</v>
      </c>
      <c r="E50">
        <v>30</v>
      </c>
      <c r="F50" s="3">
        <v>805</v>
      </c>
      <c r="G50" s="4">
        <v>10</v>
      </c>
      <c r="H50">
        <v>1</v>
      </c>
      <c r="I50">
        <v>2</v>
      </c>
      <c r="J50" t="s">
        <v>39</v>
      </c>
      <c r="K50">
        <v>4</v>
      </c>
      <c r="L50" t="s">
        <v>21</v>
      </c>
      <c r="M50" t="s">
        <v>21</v>
      </c>
      <c r="N50" s="5">
        <v>20.3</v>
      </c>
      <c r="O50" t="s">
        <v>27</v>
      </c>
      <c r="P50" t="str">
        <f>IF(I50&gt;H50,"Late","On Time")</f>
        <v>Late</v>
      </c>
      <c r="Q50">
        <f>MAX(0,I50-H50)</f>
        <v>1</v>
      </c>
      <c r="R50" t="str">
        <f t="shared" si="0"/>
        <v>High</v>
      </c>
      <c r="S50" t="str">
        <f t="shared" si="1"/>
        <v>Completed</v>
      </c>
      <c r="T50">
        <f t="shared" si="2"/>
        <v>724.5</v>
      </c>
      <c r="U50">
        <f t="shared" si="3"/>
        <v>1</v>
      </c>
    </row>
    <row r="51" spans="1:21">
      <c r="A51" t="s">
        <v>88</v>
      </c>
      <c r="B51" s="2">
        <v>46239</v>
      </c>
      <c r="C51" t="s">
        <v>18</v>
      </c>
      <c r="D51" t="s">
        <v>47</v>
      </c>
      <c r="E51">
        <v>36</v>
      </c>
      <c r="F51" s="3">
        <v>6466</v>
      </c>
      <c r="G51" s="4">
        <v>15</v>
      </c>
      <c r="H51">
        <v>3</v>
      </c>
      <c r="I51">
        <v>4</v>
      </c>
      <c r="J51" t="s">
        <v>39</v>
      </c>
      <c r="K51">
        <v>3</v>
      </c>
      <c r="L51" t="s">
        <v>21</v>
      </c>
      <c r="M51" t="s">
        <v>21</v>
      </c>
      <c r="N51" s="5">
        <v>13.2</v>
      </c>
      <c r="O51" t="s">
        <v>27</v>
      </c>
      <c r="P51" t="str">
        <f>IF(I51&gt;H51,"Late","On Time")</f>
        <v>Late</v>
      </c>
      <c r="Q51">
        <f>MAX(0,I51-H51)</f>
        <v>1</v>
      </c>
      <c r="R51" t="str">
        <f t="shared" si="0"/>
        <v>Medium</v>
      </c>
      <c r="S51" t="str">
        <f t="shared" si="1"/>
        <v>Completed</v>
      </c>
      <c r="T51">
        <f t="shared" si="2"/>
        <v>5496.0999999999995</v>
      </c>
      <c r="U51">
        <f t="shared" si="3"/>
        <v>1</v>
      </c>
    </row>
    <row r="52" spans="1:21">
      <c r="A52" t="s">
        <v>89</v>
      </c>
      <c r="B52" s="2">
        <v>46263</v>
      </c>
      <c r="C52" t="s">
        <v>55</v>
      </c>
      <c r="D52" t="s">
        <v>32</v>
      </c>
      <c r="E52">
        <v>21</v>
      </c>
      <c r="F52" s="3">
        <v>2034</v>
      </c>
      <c r="G52" s="4">
        <v>10</v>
      </c>
      <c r="H52">
        <v>1</v>
      </c>
      <c r="I52">
        <v>4</v>
      </c>
      <c r="J52" t="s">
        <v>39</v>
      </c>
      <c r="K52">
        <v>2</v>
      </c>
      <c r="L52" t="s">
        <v>21</v>
      </c>
      <c r="M52" t="s">
        <v>21</v>
      </c>
      <c r="N52" s="5">
        <v>27.8</v>
      </c>
      <c r="O52" t="s">
        <v>22</v>
      </c>
      <c r="P52" t="str">
        <f>IF(I52&gt;H52,"Late","On Time")</f>
        <v>Late</v>
      </c>
      <c r="Q52">
        <f>MAX(0,I52-H52)</f>
        <v>3</v>
      </c>
      <c r="R52" t="str">
        <f t="shared" si="0"/>
        <v>Low</v>
      </c>
      <c r="S52" t="str">
        <f t="shared" si="1"/>
        <v>Completed</v>
      </c>
      <c r="T52">
        <f t="shared" si="2"/>
        <v>1830.6000000000001</v>
      </c>
      <c r="U52">
        <f t="shared" si="3"/>
        <v>1</v>
      </c>
    </row>
    <row r="53" spans="1:21">
      <c r="A53" t="s">
        <v>90</v>
      </c>
      <c r="B53" s="2">
        <v>46250</v>
      </c>
      <c r="C53" t="s">
        <v>35</v>
      </c>
      <c r="D53" t="s">
        <v>38</v>
      </c>
      <c r="E53">
        <v>55</v>
      </c>
      <c r="F53" s="3">
        <v>1421</v>
      </c>
      <c r="G53" s="4">
        <v>15</v>
      </c>
      <c r="H53">
        <v>2</v>
      </c>
      <c r="I53">
        <v>3</v>
      </c>
      <c r="J53" t="s">
        <v>33</v>
      </c>
      <c r="K53">
        <v>4</v>
      </c>
      <c r="L53" t="s">
        <v>21</v>
      </c>
      <c r="M53" t="s">
        <v>21</v>
      </c>
      <c r="N53" s="5">
        <v>16.600000000000001</v>
      </c>
      <c r="O53" t="s">
        <v>22</v>
      </c>
      <c r="P53" t="str">
        <f>IF(I53&gt;H53,"Late","On Time")</f>
        <v>Late</v>
      </c>
      <c r="Q53">
        <f>MAX(0,I53-H53)</f>
        <v>1</v>
      </c>
      <c r="R53" t="str">
        <f t="shared" si="0"/>
        <v>High</v>
      </c>
      <c r="S53" t="str">
        <f t="shared" si="1"/>
        <v>Completed</v>
      </c>
      <c r="T53">
        <f t="shared" si="2"/>
        <v>1207.8499999999999</v>
      </c>
      <c r="U53">
        <f t="shared" si="3"/>
        <v>1</v>
      </c>
    </row>
    <row r="54" spans="1:21">
      <c r="A54" t="s">
        <v>91</v>
      </c>
      <c r="B54" s="2">
        <v>46275</v>
      </c>
      <c r="C54" t="s">
        <v>24</v>
      </c>
      <c r="D54" t="s">
        <v>47</v>
      </c>
      <c r="E54">
        <v>22</v>
      </c>
      <c r="F54" s="3">
        <v>2311</v>
      </c>
      <c r="G54" s="4">
        <v>25</v>
      </c>
      <c r="H54">
        <v>4</v>
      </c>
      <c r="I54">
        <v>6</v>
      </c>
      <c r="J54" t="s">
        <v>30</v>
      </c>
      <c r="K54">
        <v>3</v>
      </c>
      <c r="L54" t="s">
        <v>21</v>
      </c>
      <c r="M54" t="s">
        <v>21</v>
      </c>
      <c r="N54" s="5">
        <v>14</v>
      </c>
      <c r="O54" t="s">
        <v>22</v>
      </c>
      <c r="P54" t="str">
        <f>IF(I54&gt;H54,"Late","On Time")</f>
        <v>Late</v>
      </c>
      <c r="Q54">
        <f>MAX(0,I54-H54)</f>
        <v>2</v>
      </c>
      <c r="R54" t="str">
        <f t="shared" si="0"/>
        <v>Medium</v>
      </c>
      <c r="S54" t="str">
        <f t="shared" si="1"/>
        <v>Completed</v>
      </c>
      <c r="T54">
        <f t="shared" si="2"/>
        <v>1733.25</v>
      </c>
      <c r="U54">
        <f t="shared" si="3"/>
        <v>1</v>
      </c>
    </row>
    <row r="55" spans="1:21">
      <c r="A55" t="s">
        <v>92</v>
      </c>
      <c r="B55" s="2">
        <v>46253</v>
      </c>
      <c r="C55" t="s">
        <v>55</v>
      </c>
      <c r="D55" t="s">
        <v>32</v>
      </c>
      <c r="E55">
        <v>30</v>
      </c>
      <c r="F55" s="3">
        <v>1911</v>
      </c>
      <c r="G55" s="4">
        <v>15</v>
      </c>
      <c r="H55">
        <v>1</v>
      </c>
      <c r="I55">
        <v>1</v>
      </c>
      <c r="J55" t="s">
        <v>20</v>
      </c>
      <c r="K55">
        <v>5</v>
      </c>
      <c r="L55" t="s">
        <v>21</v>
      </c>
      <c r="M55" t="s">
        <v>21</v>
      </c>
      <c r="N55" s="5">
        <v>15.9</v>
      </c>
      <c r="O55" t="s">
        <v>27</v>
      </c>
      <c r="P55" t="str">
        <f>IF(I55&gt;H55,"Late","On Time")</f>
        <v>On Time</v>
      </c>
      <c r="Q55">
        <f>MAX(0,I55-H55)</f>
        <v>0</v>
      </c>
      <c r="R55" t="str">
        <f t="shared" si="0"/>
        <v>High</v>
      </c>
      <c r="S55" t="str">
        <f t="shared" si="1"/>
        <v>Completed</v>
      </c>
      <c r="T55">
        <f t="shared" si="2"/>
        <v>1624.35</v>
      </c>
      <c r="U55">
        <f t="shared" si="3"/>
        <v>0</v>
      </c>
    </row>
    <row r="56" spans="1:21">
      <c r="A56" t="s">
        <v>93</v>
      </c>
      <c r="B56" s="2">
        <v>46249</v>
      </c>
      <c r="C56" t="s">
        <v>41</v>
      </c>
      <c r="D56" t="s">
        <v>19</v>
      </c>
      <c r="E56">
        <v>47</v>
      </c>
      <c r="F56" s="3">
        <v>1900</v>
      </c>
      <c r="G56" s="4">
        <v>10</v>
      </c>
      <c r="H56">
        <v>4</v>
      </c>
      <c r="I56">
        <v>5</v>
      </c>
      <c r="J56" t="s">
        <v>26</v>
      </c>
      <c r="K56">
        <v>3</v>
      </c>
      <c r="L56" t="s">
        <v>21</v>
      </c>
      <c r="M56" t="s">
        <v>21</v>
      </c>
      <c r="N56" s="5">
        <v>15.8</v>
      </c>
      <c r="O56" t="s">
        <v>27</v>
      </c>
      <c r="P56" t="str">
        <f>IF(I56&gt;H56,"Late","On Time")</f>
        <v>Late</v>
      </c>
      <c r="Q56">
        <f>MAX(0,I56-H56)</f>
        <v>1</v>
      </c>
      <c r="R56" t="str">
        <f t="shared" si="0"/>
        <v>Medium</v>
      </c>
      <c r="S56" t="str">
        <f t="shared" si="1"/>
        <v>Completed</v>
      </c>
      <c r="T56">
        <f t="shared" si="2"/>
        <v>1710</v>
      </c>
      <c r="U56">
        <f t="shared" si="3"/>
        <v>1</v>
      </c>
    </row>
    <row r="57" spans="1:21">
      <c r="A57" t="s">
        <v>94</v>
      </c>
      <c r="B57" s="2">
        <v>46262</v>
      </c>
      <c r="C57" t="s">
        <v>55</v>
      </c>
      <c r="D57" t="s">
        <v>47</v>
      </c>
      <c r="E57">
        <v>19</v>
      </c>
      <c r="F57" s="3">
        <v>537</v>
      </c>
      <c r="G57" s="4">
        <v>25</v>
      </c>
      <c r="H57">
        <v>2</v>
      </c>
      <c r="I57">
        <v>2</v>
      </c>
      <c r="J57" t="s">
        <v>20</v>
      </c>
      <c r="K57">
        <v>5</v>
      </c>
      <c r="L57" t="s">
        <v>21</v>
      </c>
      <c r="M57" t="s">
        <v>21</v>
      </c>
      <c r="N57" s="5">
        <v>16.8</v>
      </c>
      <c r="O57" t="s">
        <v>27</v>
      </c>
      <c r="P57" t="str">
        <f>IF(I57&gt;H57,"Late","On Time")</f>
        <v>On Time</v>
      </c>
      <c r="Q57">
        <f>MAX(0,I57-H57)</f>
        <v>0</v>
      </c>
      <c r="R57" t="str">
        <f t="shared" si="0"/>
        <v>High</v>
      </c>
      <c r="S57" t="str">
        <f t="shared" si="1"/>
        <v>Completed</v>
      </c>
      <c r="T57">
        <f t="shared" si="2"/>
        <v>402.75</v>
      </c>
      <c r="U57">
        <f t="shared" si="3"/>
        <v>0</v>
      </c>
    </row>
    <row r="58" spans="1:21">
      <c r="A58" t="s">
        <v>95</v>
      </c>
      <c r="B58" s="2">
        <v>46240</v>
      </c>
      <c r="C58" t="s">
        <v>41</v>
      </c>
      <c r="D58" t="s">
        <v>19</v>
      </c>
      <c r="E58">
        <v>48</v>
      </c>
      <c r="F58" s="3">
        <v>1976</v>
      </c>
      <c r="G58" s="4">
        <v>25</v>
      </c>
      <c r="H58">
        <v>2</v>
      </c>
      <c r="I58">
        <v>2</v>
      </c>
      <c r="J58" t="s">
        <v>39</v>
      </c>
      <c r="K58">
        <v>4</v>
      </c>
      <c r="L58" t="s">
        <v>21</v>
      </c>
      <c r="M58" t="s">
        <v>21</v>
      </c>
      <c r="N58" s="5">
        <v>24.2</v>
      </c>
      <c r="O58" t="s">
        <v>22</v>
      </c>
      <c r="P58" t="str">
        <f>IF(I58&gt;H58,"Late","On Time")</f>
        <v>On Time</v>
      </c>
      <c r="Q58">
        <f>MAX(0,I58-H58)</f>
        <v>0</v>
      </c>
      <c r="R58" t="str">
        <f t="shared" si="0"/>
        <v>High</v>
      </c>
      <c r="S58" t="str">
        <f t="shared" si="1"/>
        <v>Completed</v>
      </c>
      <c r="T58">
        <f t="shared" si="2"/>
        <v>1482</v>
      </c>
      <c r="U58">
        <f t="shared" si="3"/>
        <v>0</v>
      </c>
    </row>
    <row r="59" spans="1:21">
      <c r="A59" t="s">
        <v>96</v>
      </c>
      <c r="B59" s="2">
        <v>46274</v>
      </c>
      <c r="C59" t="s">
        <v>35</v>
      </c>
      <c r="D59" t="s">
        <v>29</v>
      </c>
      <c r="E59">
        <v>38</v>
      </c>
      <c r="F59" s="3">
        <v>1157</v>
      </c>
      <c r="G59" s="4">
        <v>0</v>
      </c>
      <c r="H59">
        <v>2</v>
      </c>
      <c r="I59">
        <v>1</v>
      </c>
      <c r="J59" t="s">
        <v>30</v>
      </c>
      <c r="K59">
        <v>5</v>
      </c>
      <c r="L59" t="s">
        <v>21</v>
      </c>
      <c r="M59" t="s">
        <v>21</v>
      </c>
      <c r="N59" s="5">
        <v>24.4</v>
      </c>
      <c r="O59" t="s">
        <v>27</v>
      </c>
      <c r="P59" t="str">
        <f>IF(I59&gt;H59,"Late","On Time")</f>
        <v>On Time</v>
      </c>
      <c r="Q59">
        <f>MAX(0,I59-H59)</f>
        <v>0</v>
      </c>
      <c r="R59" t="str">
        <f t="shared" si="0"/>
        <v>High</v>
      </c>
      <c r="S59" t="str">
        <f t="shared" si="1"/>
        <v>Completed</v>
      </c>
      <c r="T59">
        <f t="shared" si="2"/>
        <v>1157</v>
      </c>
      <c r="U59">
        <f t="shared" si="3"/>
        <v>0</v>
      </c>
    </row>
    <row r="60" spans="1:21">
      <c r="A60" t="s">
        <v>97</v>
      </c>
      <c r="B60" s="2">
        <v>46254</v>
      </c>
      <c r="C60" t="s">
        <v>41</v>
      </c>
      <c r="D60" t="s">
        <v>32</v>
      </c>
      <c r="E60">
        <v>46</v>
      </c>
      <c r="F60" s="3">
        <v>2650</v>
      </c>
      <c r="G60" s="4">
        <v>20</v>
      </c>
      <c r="H60">
        <v>3</v>
      </c>
      <c r="I60">
        <v>3</v>
      </c>
      <c r="J60" t="s">
        <v>33</v>
      </c>
      <c r="K60">
        <v>4</v>
      </c>
      <c r="L60" t="s">
        <v>21</v>
      </c>
      <c r="M60" t="s">
        <v>21</v>
      </c>
      <c r="N60" s="5">
        <v>26.1</v>
      </c>
      <c r="O60" t="s">
        <v>27</v>
      </c>
      <c r="P60" t="str">
        <f>IF(I60&gt;H60,"Late","On Time")</f>
        <v>On Time</v>
      </c>
      <c r="Q60">
        <f>MAX(0,I60-H60)</f>
        <v>0</v>
      </c>
      <c r="R60" t="str">
        <f t="shared" si="0"/>
        <v>High</v>
      </c>
      <c r="S60" t="str">
        <f t="shared" si="1"/>
        <v>Completed</v>
      </c>
      <c r="T60">
        <f t="shared" si="2"/>
        <v>2120</v>
      </c>
      <c r="U60">
        <f t="shared" si="3"/>
        <v>0</v>
      </c>
    </row>
    <row r="61" spans="1:21">
      <c r="A61" t="s">
        <v>98</v>
      </c>
      <c r="B61" s="2">
        <v>46267</v>
      </c>
      <c r="C61" t="s">
        <v>55</v>
      </c>
      <c r="D61" t="s">
        <v>19</v>
      </c>
      <c r="E61">
        <v>53</v>
      </c>
      <c r="F61" s="3">
        <v>995</v>
      </c>
      <c r="G61" s="4">
        <v>15</v>
      </c>
      <c r="H61">
        <v>1</v>
      </c>
      <c r="I61">
        <v>1</v>
      </c>
      <c r="J61" t="s">
        <v>30</v>
      </c>
      <c r="K61">
        <v>4</v>
      </c>
      <c r="L61" t="s">
        <v>21</v>
      </c>
      <c r="M61" t="s">
        <v>21</v>
      </c>
      <c r="N61" s="5">
        <v>7.5</v>
      </c>
      <c r="O61" t="s">
        <v>27</v>
      </c>
      <c r="P61" t="str">
        <f>IF(I61&gt;H61,"Late","On Time")</f>
        <v>On Time</v>
      </c>
      <c r="Q61">
        <f>MAX(0,I61-H61)</f>
        <v>0</v>
      </c>
      <c r="R61" t="str">
        <f t="shared" si="0"/>
        <v>High</v>
      </c>
      <c r="S61" t="str">
        <f t="shared" si="1"/>
        <v>Completed</v>
      </c>
      <c r="T61">
        <f t="shared" si="2"/>
        <v>845.75</v>
      </c>
      <c r="U61">
        <f t="shared" si="3"/>
        <v>0</v>
      </c>
    </row>
    <row r="62" spans="1:21">
      <c r="A62" t="s">
        <v>99</v>
      </c>
      <c r="B62" s="2">
        <v>46256</v>
      </c>
      <c r="C62" t="s">
        <v>35</v>
      </c>
      <c r="D62" t="s">
        <v>25</v>
      </c>
      <c r="E62">
        <v>48</v>
      </c>
      <c r="F62" s="3">
        <v>1159</v>
      </c>
      <c r="G62" s="4">
        <v>20</v>
      </c>
      <c r="H62">
        <v>2</v>
      </c>
      <c r="I62">
        <v>3</v>
      </c>
      <c r="J62" t="s">
        <v>39</v>
      </c>
      <c r="K62">
        <v>4</v>
      </c>
      <c r="L62" t="s">
        <v>21</v>
      </c>
      <c r="M62" t="s">
        <v>21</v>
      </c>
      <c r="N62" s="5">
        <v>11.7</v>
      </c>
      <c r="O62" t="s">
        <v>22</v>
      </c>
      <c r="P62" t="str">
        <f>IF(I62&gt;H62,"Late","On Time")</f>
        <v>Late</v>
      </c>
      <c r="Q62">
        <f>MAX(0,I62-H62)</f>
        <v>1</v>
      </c>
      <c r="R62" t="str">
        <f t="shared" si="0"/>
        <v>High</v>
      </c>
      <c r="S62" t="str">
        <f t="shared" si="1"/>
        <v>Completed</v>
      </c>
      <c r="T62">
        <f t="shared" si="2"/>
        <v>927.2</v>
      </c>
      <c r="U62">
        <f t="shared" si="3"/>
        <v>1</v>
      </c>
    </row>
    <row r="63" spans="1:21">
      <c r="A63" t="s">
        <v>100</v>
      </c>
      <c r="B63" s="2">
        <v>46259</v>
      </c>
      <c r="C63" t="s">
        <v>55</v>
      </c>
      <c r="D63" t="s">
        <v>29</v>
      </c>
      <c r="E63">
        <v>18</v>
      </c>
      <c r="F63" s="3">
        <v>1344</v>
      </c>
      <c r="G63" s="4">
        <v>10</v>
      </c>
      <c r="H63">
        <v>2</v>
      </c>
      <c r="I63">
        <v>2</v>
      </c>
      <c r="J63" t="s">
        <v>20</v>
      </c>
      <c r="K63">
        <v>5</v>
      </c>
      <c r="L63" t="s">
        <v>21</v>
      </c>
      <c r="M63" t="s">
        <v>21</v>
      </c>
      <c r="N63" s="5">
        <v>23.7</v>
      </c>
      <c r="O63" t="s">
        <v>27</v>
      </c>
      <c r="P63" t="str">
        <f>IF(I63&gt;H63,"Late","On Time")</f>
        <v>On Time</v>
      </c>
      <c r="Q63">
        <f>MAX(0,I63-H63)</f>
        <v>0</v>
      </c>
      <c r="R63" t="str">
        <f t="shared" si="0"/>
        <v>High</v>
      </c>
      <c r="S63" t="str">
        <f t="shared" si="1"/>
        <v>Completed</v>
      </c>
      <c r="T63">
        <f t="shared" si="2"/>
        <v>1209.6000000000001</v>
      </c>
      <c r="U63">
        <f t="shared" si="3"/>
        <v>0</v>
      </c>
    </row>
    <row r="64" spans="1:21">
      <c r="A64" t="s">
        <v>101</v>
      </c>
      <c r="B64" s="2">
        <v>46266</v>
      </c>
      <c r="C64" t="s">
        <v>41</v>
      </c>
      <c r="D64" t="s">
        <v>29</v>
      </c>
      <c r="E64">
        <v>30</v>
      </c>
      <c r="F64" s="3">
        <v>3480</v>
      </c>
      <c r="G64" s="4">
        <v>15</v>
      </c>
      <c r="H64">
        <v>3</v>
      </c>
      <c r="I64">
        <v>3</v>
      </c>
      <c r="J64" t="s">
        <v>33</v>
      </c>
      <c r="K64">
        <v>5</v>
      </c>
      <c r="L64" t="s">
        <v>21</v>
      </c>
      <c r="M64" t="s">
        <v>21</v>
      </c>
      <c r="N64" s="5">
        <v>24.2</v>
      </c>
      <c r="O64" t="s">
        <v>27</v>
      </c>
      <c r="P64" t="str">
        <f>IF(I64&gt;H64,"Late","On Time")</f>
        <v>On Time</v>
      </c>
      <c r="Q64">
        <f>MAX(0,I64-H64)</f>
        <v>0</v>
      </c>
      <c r="R64" t="str">
        <f t="shared" si="0"/>
        <v>High</v>
      </c>
      <c r="S64" t="str">
        <f t="shared" si="1"/>
        <v>Completed</v>
      </c>
      <c r="T64">
        <f t="shared" si="2"/>
        <v>2958</v>
      </c>
      <c r="U64">
        <f t="shared" si="3"/>
        <v>0</v>
      </c>
    </row>
    <row r="65" spans="1:21">
      <c r="A65" t="s">
        <v>102</v>
      </c>
      <c r="B65" s="2">
        <v>46239</v>
      </c>
      <c r="C65" t="s">
        <v>18</v>
      </c>
      <c r="D65" t="s">
        <v>36</v>
      </c>
      <c r="E65">
        <v>50</v>
      </c>
      <c r="F65" s="3">
        <v>3977</v>
      </c>
      <c r="G65" s="4">
        <v>20</v>
      </c>
      <c r="H65">
        <v>3</v>
      </c>
      <c r="I65">
        <v>3</v>
      </c>
      <c r="J65" t="s">
        <v>33</v>
      </c>
      <c r="K65">
        <v>4</v>
      </c>
      <c r="L65" t="s">
        <v>21</v>
      </c>
      <c r="M65" t="s">
        <v>56</v>
      </c>
      <c r="N65" s="5">
        <v>24.5</v>
      </c>
      <c r="O65" t="s">
        <v>27</v>
      </c>
      <c r="P65" t="str">
        <f>IF(I65&gt;H65,"Late","On Time")</f>
        <v>On Time</v>
      </c>
      <c r="Q65">
        <f>MAX(0,I65-H65)</f>
        <v>0</v>
      </c>
      <c r="R65" t="str">
        <f t="shared" si="0"/>
        <v>High</v>
      </c>
      <c r="S65" t="str">
        <f t="shared" si="1"/>
        <v>Returned</v>
      </c>
      <c r="T65">
        <f t="shared" si="2"/>
        <v>3181.6000000000004</v>
      </c>
      <c r="U65">
        <f t="shared" si="3"/>
        <v>0</v>
      </c>
    </row>
    <row r="66" spans="1:21">
      <c r="A66" t="s">
        <v>103</v>
      </c>
      <c r="B66" s="2">
        <v>46237</v>
      </c>
      <c r="C66" t="s">
        <v>41</v>
      </c>
      <c r="D66" t="s">
        <v>38</v>
      </c>
      <c r="E66">
        <v>34</v>
      </c>
      <c r="F66" s="3">
        <v>1626</v>
      </c>
      <c r="G66" s="4">
        <v>25</v>
      </c>
      <c r="H66">
        <v>2</v>
      </c>
      <c r="I66">
        <v>3</v>
      </c>
      <c r="J66" t="s">
        <v>20</v>
      </c>
      <c r="K66">
        <v>4</v>
      </c>
      <c r="L66" t="s">
        <v>21</v>
      </c>
      <c r="M66" t="s">
        <v>21</v>
      </c>
      <c r="N66" s="5">
        <v>24.1</v>
      </c>
      <c r="O66" t="s">
        <v>22</v>
      </c>
      <c r="P66" t="str">
        <f>IF(I66&gt;H66,"Late","On Time")</f>
        <v>Late</v>
      </c>
      <c r="Q66">
        <f>MAX(0,I66-H66)</f>
        <v>1</v>
      </c>
      <c r="R66" t="str">
        <f t="shared" ref="R66:R129" si="4">IF(K66&gt;=4,"High",IF(K66=3,"Medium","Low"))</f>
        <v>High</v>
      </c>
      <c r="S66" t="str">
        <f t="shared" ref="S66:S129" si="5">IF(L66="Yes","Cancelled",IF(M66="Yes","Returned","Completed"))</f>
        <v>Completed</v>
      </c>
      <c r="T66">
        <f t="shared" ref="T66:T129" si="6">F66*(1-G66/100)</f>
        <v>1219.5</v>
      </c>
      <c r="U66">
        <f t="shared" ref="U66:U129" si="7">IF(P66="Late",1,0)</f>
        <v>1</v>
      </c>
    </row>
    <row r="67" spans="1:21">
      <c r="A67" t="s">
        <v>104</v>
      </c>
      <c r="B67" s="2">
        <v>46279</v>
      </c>
      <c r="C67" t="s">
        <v>55</v>
      </c>
      <c r="D67" t="s">
        <v>19</v>
      </c>
      <c r="E67">
        <v>33</v>
      </c>
      <c r="F67" s="3">
        <v>2182</v>
      </c>
      <c r="G67" s="4">
        <v>25</v>
      </c>
      <c r="H67">
        <v>2</v>
      </c>
      <c r="I67">
        <v>2</v>
      </c>
      <c r="J67" t="s">
        <v>33</v>
      </c>
      <c r="K67">
        <v>5</v>
      </c>
      <c r="L67" t="s">
        <v>21</v>
      </c>
      <c r="M67" t="s">
        <v>21</v>
      </c>
      <c r="N67" s="5">
        <v>27.9</v>
      </c>
      <c r="O67" t="s">
        <v>27</v>
      </c>
      <c r="P67" t="str">
        <f>IF(I67&gt;H67,"Late","On Time")</f>
        <v>On Time</v>
      </c>
      <c r="Q67">
        <f>MAX(0,I67-H67)</f>
        <v>0</v>
      </c>
      <c r="R67" t="str">
        <f t="shared" si="4"/>
        <v>High</v>
      </c>
      <c r="S67" t="str">
        <f t="shared" si="5"/>
        <v>Completed</v>
      </c>
      <c r="T67">
        <f t="shared" si="6"/>
        <v>1636.5</v>
      </c>
      <c r="U67">
        <f t="shared" si="7"/>
        <v>0</v>
      </c>
    </row>
    <row r="68" spans="1:21">
      <c r="A68" t="s">
        <v>105</v>
      </c>
      <c r="B68" s="2">
        <v>46274</v>
      </c>
      <c r="C68" t="s">
        <v>35</v>
      </c>
      <c r="D68" t="s">
        <v>19</v>
      </c>
      <c r="E68">
        <v>20</v>
      </c>
      <c r="F68" s="3">
        <v>846</v>
      </c>
      <c r="G68" s="4">
        <v>10</v>
      </c>
      <c r="H68">
        <v>2</v>
      </c>
      <c r="I68">
        <v>2</v>
      </c>
      <c r="J68" t="s">
        <v>39</v>
      </c>
      <c r="K68">
        <v>5</v>
      </c>
      <c r="L68" t="s">
        <v>21</v>
      </c>
      <c r="M68" t="s">
        <v>21</v>
      </c>
      <c r="N68" s="5">
        <v>12.9</v>
      </c>
      <c r="O68" t="s">
        <v>27</v>
      </c>
      <c r="P68" t="str">
        <f>IF(I68&gt;H68,"Late","On Time")</f>
        <v>On Time</v>
      </c>
      <c r="Q68">
        <f>MAX(0,I68-H68)</f>
        <v>0</v>
      </c>
      <c r="R68" t="str">
        <f t="shared" si="4"/>
        <v>High</v>
      </c>
      <c r="S68" t="str">
        <f t="shared" si="5"/>
        <v>Completed</v>
      </c>
      <c r="T68">
        <f t="shared" si="6"/>
        <v>761.4</v>
      </c>
      <c r="U68">
        <f t="shared" si="7"/>
        <v>0</v>
      </c>
    </row>
    <row r="69" spans="1:21">
      <c r="A69" t="s">
        <v>106</v>
      </c>
      <c r="B69" s="2">
        <v>46245</v>
      </c>
      <c r="C69" t="s">
        <v>24</v>
      </c>
      <c r="D69" t="s">
        <v>25</v>
      </c>
      <c r="E69">
        <v>55</v>
      </c>
      <c r="F69" s="3">
        <v>2073</v>
      </c>
      <c r="G69" s="4">
        <v>5</v>
      </c>
      <c r="H69">
        <v>3</v>
      </c>
      <c r="I69">
        <v>3</v>
      </c>
      <c r="J69" t="s">
        <v>20</v>
      </c>
      <c r="K69">
        <v>5</v>
      </c>
      <c r="L69" t="s">
        <v>21</v>
      </c>
      <c r="M69" t="s">
        <v>21</v>
      </c>
      <c r="N69" s="5">
        <v>13.7</v>
      </c>
      <c r="O69" t="s">
        <v>27</v>
      </c>
      <c r="P69" t="str">
        <f>IF(I69&gt;H69,"Late","On Time")</f>
        <v>On Time</v>
      </c>
      <c r="Q69">
        <f>MAX(0,I69-H69)</f>
        <v>0</v>
      </c>
      <c r="R69" t="str">
        <f t="shared" si="4"/>
        <v>High</v>
      </c>
      <c r="S69" t="str">
        <f t="shared" si="5"/>
        <v>Completed</v>
      </c>
      <c r="T69">
        <f t="shared" si="6"/>
        <v>1969.35</v>
      </c>
      <c r="U69">
        <f t="shared" si="7"/>
        <v>0</v>
      </c>
    </row>
    <row r="70" spans="1:21">
      <c r="A70" t="s">
        <v>107</v>
      </c>
      <c r="B70" s="2">
        <v>46279</v>
      </c>
      <c r="C70" t="s">
        <v>18</v>
      </c>
      <c r="D70" t="s">
        <v>25</v>
      </c>
      <c r="E70">
        <v>40</v>
      </c>
      <c r="F70" s="3">
        <v>6301</v>
      </c>
      <c r="G70" s="4">
        <v>15</v>
      </c>
      <c r="H70">
        <v>3</v>
      </c>
      <c r="I70">
        <v>3</v>
      </c>
      <c r="J70" t="s">
        <v>30</v>
      </c>
      <c r="K70">
        <v>5</v>
      </c>
      <c r="L70" t="s">
        <v>21</v>
      </c>
      <c r="M70" t="s">
        <v>21</v>
      </c>
      <c r="N70" s="5">
        <v>13.6</v>
      </c>
      <c r="O70" t="s">
        <v>27</v>
      </c>
      <c r="P70" t="str">
        <f>IF(I70&gt;H70,"Late","On Time")</f>
        <v>On Time</v>
      </c>
      <c r="Q70">
        <f>MAX(0,I70-H70)</f>
        <v>0</v>
      </c>
      <c r="R70" t="str">
        <f t="shared" si="4"/>
        <v>High</v>
      </c>
      <c r="S70" t="str">
        <f t="shared" si="5"/>
        <v>Completed</v>
      </c>
      <c r="T70">
        <f t="shared" si="6"/>
        <v>5355.8499999999995</v>
      </c>
      <c r="U70">
        <f t="shared" si="7"/>
        <v>0</v>
      </c>
    </row>
    <row r="71" spans="1:21">
      <c r="A71" t="s">
        <v>108</v>
      </c>
      <c r="B71" s="2">
        <v>46273</v>
      </c>
      <c r="C71" t="s">
        <v>35</v>
      </c>
      <c r="D71" t="s">
        <v>19</v>
      </c>
      <c r="E71">
        <v>43</v>
      </c>
      <c r="F71" s="3">
        <v>877</v>
      </c>
      <c r="G71" s="4">
        <v>10</v>
      </c>
      <c r="H71">
        <v>1</v>
      </c>
      <c r="I71">
        <v>1</v>
      </c>
      <c r="J71" t="s">
        <v>33</v>
      </c>
      <c r="K71">
        <v>5</v>
      </c>
      <c r="L71" t="s">
        <v>21</v>
      </c>
      <c r="M71" t="s">
        <v>21</v>
      </c>
      <c r="N71" s="5">
        <v>16.5</v>
      </c>
      <c r="O71" t="s">
        <v>59</v>
      </c>
      <c r="P71" t="str">
        <f>IF(I71&gt;H71,"Late","On Time")</f>
        <v>On Time</v>
      </c>
      <c r="Q71">
        <f>MAX(0,I71-H71)</f>
        <v>0</v>
      </c>
      <c r="R71" t="str">
        <f t="shared" si="4"/>
        <v>High</v>
      </c>
      <c r="S71" t="str">
        <f t="shared" si="5"/>
        <v>Completed</v>
      </c>
      <c r="T71">
        <f t="shared" si="6"/>
        <v>789.30000000000007</v>
      </c>
      <c r="U71">
        <f t="shared" si="7"/>
        <v>0</v>
      </c>
    </row>
    <row r="72" spans="1:21">
      <c r="A72" t="s">
        <v>109</v>
      </c>
      <c r="B72" s="2">
        <v>46253</v>
      </c>
      <c r="C72" t="s">
        <v>35</v>
      </c>
      <c r="D72" t="s">
        <v>36</v>
      </c>
      <c r="E72">
        <v>30</v>
      </c>
      <c r="F72" s="3">
        <v>518</v>
      </c>
      <c r="G72" s="4">
        <v>25</v>
      </c>
      <c r="H72">
        <v>2</v>
      </c>
      <c r="I72">
        <v>1</v>
      </c>
      <c r="J72" t="s">
        <v>26</v>
      </c>
      <c r="K72">
        <v>4</v>
      </c>
      <c r="L72" t="s">
        <v>21</v>
      </c>
      <c r="M72" t="s">
        <v>21</v>
      </c>
      <c r="N72" s="5">
        <v>18.100000000000001</v>
      </c>
      <c r="O72" t="s">
        <v>22</v>
      </c>
      <c r="P72" t="str">
        <f>IF(I72&gt;H72,"Late","On Time")</f>
        <v>On Time</v>
      </c>
      <c r="Q72">
        <f>MAX(0,I72-H72)</f>
        <v>0</v>
      </c>
      <c r="R72" t="str">
        <f t="shared" si="4"/>
        <v>High</v>
      </c>
      <c r="S72" t="str">
        <f t="shared" si="5"/>
        <v>Completed</v>
      </c>
      <c r="T72">
        <f t="shared" si="6"/>
        <v>388.5</v>
      </c>
      <c r="U72">
        <f t="shared" si="7"/>
        <v>0</v>
      </c>
    </row>
    <row r="73" spans="1:21">
      <c r="A73" t="s">
        <v>110</v>
      </c>
      <c r="B73" s="2">
        <v>46253</v>
      </c>
      <c r="C73" t="s">
        <v>35</v>
      </c>
      <c r="D73" t="s">
        <v>32</v>
      </c>
      <c r="E73">
        <v>44</v>
      </c>
      <c r="F73" s="3">
        <v>537</v>
      </c>
      <c r="G73" s="4">
        <v>5</v>
      </c>
      <c r="H73">
        <v>2</v>
      </c>
      <c r="I73">
        <v>2</v>
      </c>
      <c r="J73" t="s">
        <v>39</v>
      </c>
      <c r="K73">
        <v>5</v>
      </c>
      <c r="L73" t="s">
        <v>21</v>
      </c>
      <c r="M73" t="s">
        <v>21</v>
      </c>
      <c r="N73" s="5">
        <v>5</v>
      </c>
      <c r="O73" t="s">
        <v>27</v>
      </c>
      <c r="P73" t="str">
        <f>IF(I73&gt;H73,"Late","On Time")</f>
        <v>On Time</v>
      </c>
      <c r="Q73">
        <f>MAX(0,I73-H73)</f>
        <v>0</v>
      </c>
      <c r="R73" t="str">
        <f t="shared" si="4"/>
        <v>High</v>
      </c>
      <c r="S73" t="str">
        <f t="shared" si="5"/>
        <v>Completed</v>
      </c>
      <c r="T73">
        <f t="shared" si="6"/>
        <v>510.15</v>
      </c>
      <c r="U73">
        <f t="shared" si="7"/>
        <v>0</v>
      </c>
    </row>
    <row r="74" spans="1:21">
      <c r="A74" t="s">
        <v>111</v>
      </c>
      <c r="B74" s="2">
        <v>46278</v>
      </c>
      <c r="C74" t="s">
        <v>35</v>
      </c>
      <c r="D74" t="s">
        <v>38</v>
      </c>
      <c r="E74">
        <v>25</v>
      </c>
      <c r="F74" s="3">
        <v>764</v>
      </c>
      <c r="G74" s="4">
        <v>5</v>
      </c>
      <c r="H74">
        <v>2</v>
      </c>
      <c r="I74">
        <v>2</v>
      </c>
      <c r="J74" t="s">
        <v>30</v>
      </c>
      <c r="K74">
        <v>4</v>
      </c>
      <c r="L74" t="s">
        <v>21</v>
      </c>
      <c r="M74" t="s">
        <v>21</v>
      </c>
      <c r="N74" s="5">
        <v>27.1</v>
      </c>
      <c r="O74" t="s">
        <v>27</v>
      </c>
      <c r="P74" t="str">
        <f>IF(I74&gt;H74,"Late","On Time")</f>
        <v>On Time</v>
      </c>
      <c r="Q74">
        <f>MAX(0,I74-H74)</f>
        <v>0</v>
      </c>
      <c r="R74" t="str">
        <f t="shared" si="4"/>
        <v>High</v>
      </c>
      <c r="S74" t="str">
        <f t="shared" si="5"/>
        <v>Completed</v>
      </c>
      <c r="T74">
        <f t="shared" si="6"/>
        <v>725.8</v>
      </c>
      <c r="U74">
        <f t="shared" si="7"/>
        <v>0</v>
      </c>
    </row>
    <row r="75" spans="1:21">
      <c r="A75" t="s">
        <v>112</v>
      </c>
      <c r="B75" s="2">
        <v>46275</v>
      </c>
      <c r="C75" t="s">
        <v>35</v>
      </c>
      <c r="D75" t="s">
        <v>47</v>
      </c>
      <c r="E75">
        <v>42</v>
      </c>
      <c r="F75" s="3">
        <v>927</v>
      </c>
      <c r="G75" s="4">
        <v>25</v>
      </c>
      <c r="H75">
        <v>2</v>
      </c>
      <c r="I75">
        <v>1</v>
      </c>
      <c r="J75" t="s">
        <v>26</v>
      </c>
      <c r="K75">
        <v>5</v>
      </c>
      <c r="L75" t="s">
        <v>21</v>
      </c>
      <c r="M75" t="s">
        <v>21</v>
      </c>
      <c r="N75" s="5">
        <v>4.4000000000000004</v>
      </c>
      <c r="O75" t="s">
        <v>22</v>
      </c>
      <c r="P75" t="str">
        <f>IF(I75&gt;H75,"Late","On Time")</f>
        <v>On Time</v>
      </c>
      <c r="Q75">
        <f>MAX(0,I75-H75)</f>
        <v>0</v>
      </c>
      <c r="R75" t="str">
        <f t="shared" si="4"/>
        <v>High</v>
      </c>
      <c r="S75" t="str">
        <f t="shared" si="5"/>
        <v>Completed</v>
      </c>
      <c r="T75">
        <f t="shared" si="6"/>
        <v>695.25</v>
      </c>
      <c r="U75">
        <f t="shared" si="7"/>
        <v>0</v>
      </c>
    </row>
    <row r="76" spans="1:21">
      <c r="A76" t="s">
        <v>113</v>
      </c>
      <c r="B76" s="2">
        <v>46261</v>
      </c>
      <c r="C76" t="s">
        <v>41</v>
      </c>
      <c r="D76" t="s">
        <v>32</v>
      </c>
      <c r="E76">
        <v>37</v>
      </c>
      <c r="F76" s="3">
        <v>2246</v>
      </c>
      <c r="G76" s="4">
        <v>0</v>
      </c>
      <c r="H76">
        <v>2</v>
      </c>
      <c r="I76">
        <v>1</v>
      </c>
      <c r="J76" t="s">
        <v>20</v>
      </c>
      <c r="K76">
        <v>4</v>
      </c>
      <c r="L76" t="s">
        <v>21</v>
      </c>
      <c r="M76" t="s">
        <v>21</v>
      </c>
      <c r="N76" s="5">
        <v>9.6</v>
      </c>
      <c r="O76" t="s">
        <v>27</v>
      </c>
      <c r="P76" t="str">
        <f>IF(I76&gt;H76,"Late","On Time")</f>
        <v>On Time</v>
      </c>
      <c r="Q76">
        <f>MAX(0,I76-H76)</f>
        <v>0</v>
      </c>
      <c r="R76" t="str">
        <f t="shared" si="4"/>
        <v>High</v>
      </c>
      <c r="S76" t="str">
        <f t="shared" si="5"/>
        <v>Completed</v>
      </c>
      <c r="T76">
        <f t="shared" si="6"/>
        <v>2246</v>
      </c>
      <c r="U76">
        <f t="shared" si="7"/>
        <v>0</v>
      </c>
    </row>
    <row r="77" spans="1:21">
      <c r="A77" t="s">
        <v>114</v>
      </c>
      <c r="B77" s="2">
        <v>46241</v>
      </c>
      <c r="C77" t="s">
        <v>55</v>
      </c>
      <c r="D77" t="s">
        <v>32</v>
      </c>
      <c r="E77">
        <v>27</v>
      </c>
      <c r="F77" s="3">
        <v>1159</v>
      </c>
      <c r="G77" s="4">
        <v>15</v>
      </c>
      <c r="H77">
        <v>1</v>
      </c>
      <c r="I77">
        <v>1</v>
      </c>
      <c r="J77" t="s">
        <v>30</v>
      </c>
      <c r="K77">
        <v>4</v>
      </c>
      <c r="L77" t="s">
        <v>21</v>
      </c>
      <c r="M77" t="s">
        <v>21</v>
      </c>
      <c r="N77" s="5">
        <v>23.6</v>
      </c>
      <c r="O77" t="s">
        <v>59</v>
      </c>
      <c r="P77" t="str">
        <f>IF(I77&gt;H77,"Late","On Time")</f>
        <v>On Time</v>
      </c>
      <c r="Q77">
        <f>MAX(0,I77-H77)</f>
        <v>0</v>
      </c>
      <c r="R77" t="str">
        <f t="shared" si="4"/>
        <v>High</v>
      </c>
      <c r="S77" t="str">
        <f t="shared" si="5"/>
        <v>Completed</v>
      </c>
      <c r="T77">
        <f t="shared" si="6"/>
        <v>985.15</v>
      </c>
      <c r="U77">
        <f t="shared" si="7"/>
        <v>0</v>
      </c>
    </row>
    <row r="78" spans="1:21">
      <c r="A78" t="s">
        <v>115</v>
      </c>
      <c r="B78" s="2">
        <v>46248</v>
      </c>
      <c r="C78" t="s">
        <v>35</v>
      </c>
      <c r="D78" t="s">
        <v>47</v>
      </c>
      <c r="E78">
        <v>40</v>
      </c>
      <c r="F78" s="3">
        <v>1161</v>
      </c>
      <c r="G78" s="4">
        <v>0</v>
      </c>
      <c r="H78">
        <v>2</v>
      </c>
      <c r="I78">
        <v>3</v>
      </c>
      <c r="J78" t="s">
        <v>20</v>
      </c>
      <c r="K78">
        <v>4</v>
      </c>
      <c r="L78" t="s">
        <v>21</v>
      </c>
      <c r="M78" t="s">
        <v>21</v>
      </c>
      <c r="N78" s="5">
        <v>3.9</v>
      </c>
      <c r="O78" t="s">
        <v>59</v>
      </c>
      <c r="P78" t="str">
        <f>IF(I78&gt;H78,"Late","On Time")</f>
        <v>Late</v>
      </c>
      <c r="Q78">
        <f>MAX(0,I78-H78)</f>
        <v>1</v>
      </c>
      <c r="R78" t="str">
        <f t="shared" si="4"/>
        <v>High</v>
      </c>
      <c r="S78" t="str">
        <f t="shared" si="5"/>
        <v>Completed</v>
      </c>
      <c r="T78">
        <f t="shared" si="6"/>
        <v>1161</v>
      </c>
      <c r="U78">
        <f t="shared" si="7"/>
        <v>1</v>
      </c>
    </row>
    <row r="79" spans="1:21">
      <c r="A79" t="s">
        <v>116</v>
      </c>
      <c r="B79" s="2">
        <v>46243</v>
      </c>
      <c r="C79" t="s">
        <v>18</v>
      </c>
      <c r="D79" t="s">
        <v>38</v>
      </c>
      <c r="E79">
        <v>53</v>
      </c>
      <c r="F79" s="3">
        <v>4945</v>
      </c>
      <c r="G79" s="4">
        <v>5</v>
      </c>
      <c r="H79">
        <v>4</v>
      </c>
      <c r="I79">
        <v>4</v>
      </c>
      <c r="J79" t="s">
        <v>33</v>
      </c>
      <c r="K79">
        <v>5</v>
      </c>
      <c r="L79" t="s">
        <v>21</v>
      </c>
      <c r="M79" t="s">
        <v>21</v>
      </c>
      <c r="N79" s="5">
        <v>7.2</v>
      </c>
      <c r="O79" t="s">
        <v>27</v>
      </c>
      <c r="P79" t="str">
        <f>IF(I79&gt;H79,"Late","On Time")</f>
        <v>On Time</v>
      </c>
      <c r="Q79">
        <f>MAX(0,I79-H79)</f>
        <v>0</v>
      </c>
      <c r="R79" t="str">
        <f t="shared" si="4"/>
        <v>High</v>
      </c>
      <c r="S79" t="str">
        <f t="shared" si="5"/>
        <v>Completed</v>
      </c>
      <c r="T79">
        <f t="shared" si="6"/>
        <v>4697.75</v>
      </c>
      <c r="U79">
        <f t="shared" si="7"/>
        <v>0</v>
      </c>
    </row>
    <row r="80" spans="1:21">
      <c r="A80" t="s">
        <v>117</v>
      </c>
      <c r="B80" s="2">
        <v>46242</v>
      </c>
      <c r="C80" t="s">
        <v>55</v>
      </c>
      <c r="D80" t="s">
        <v>29</v>
      </c>
      <c r="E80">
        <v>29</v>
      </c>
      <c r="F80" s="3">
        <v>2328</v>
      </c>
      <c r="G80" s="4">
        <v>5</v>
      </c>
      <c r="H80">
        <v>1</v>
      </c>
      <c r="I80">
        <v>2</v>
      </c>
      <c r="J80" t="s">
        <v>20</v>
      </c>
      <c r="K80">
        <v>4</v>
      </c>
      <c r="L80" t="s">
        <v>21</v>
      </c>
      <c r="M80" t="s">
        <v>56</v>
      </c>
      <c r="N80" s="5">
        <v>11</v>
      </c>
      <c r="O80" t="s">
        <v>22</v>
      </c>
      <c r="P80" t="str">
        <f>IF(I80&gt;H80,"Late","On Time")</f>
        <v>Late</v>
      </c>
      <c r="Q80">
        <f>MAX(0,I80-H80)</f>
        <v>1</v>
      </c>
      <c r="R80" t="str">
        <f t="shared" si="4"/>
        <v>High</v>
      </c>
      <c r="S80" t="str">
        <f t="shared" si="5"/>
        <v>Returned</v>
      </c>
      <c r="T80">
        <f t="shared" si="6"/>
        <v>2211.6</v>
      </c>
      <c r="U80">
        <f t="shared" si="7"/>
        <v>1</v>
      </c>
    </row>
    <row r="81" spans="1:21">
      <c r="A81" t="s">
        <v>118</v>
      </c>
      <c r="B81" s="2">
        <v>46254</v>
      </c>
      <c r="C81" t="s">
        <v>18</v>
      </c>
      <c r="D81" t="s">
        <v>25</v>
      </c>
      <c r="E81">
        <v>46</v>
      </c>
      <c r="F81" s="3">
        <v>7395</v>
      </c>
      <c r="G81" s="4">
        <v>10</v>
      </c>
      <c r="H81">
        <v>4</v>
      </c>
      <c r="I81">
        <v>4</v>
      </c>
      <c r="J81" t="s">
        <v>20</v>
      </c>
      <c r="K81">
        <v>5</v>
      </c>
      <c r="L81" t="s">
        <v>21</v>
      </c>
      <c r="M81" t="s">
        <v>21</v>
      </c>
      <c r="N81" s="5">
        <v>17.2</v>
      </c>
      <c r="O81" t="s">
        <v>22</v>
      </c>
      <c r="P81" t="str">
        <f>IF(I81&gt;H81,"Late","On Time")</f>
        <v>On Time</v>
      </c>
      <c r="Q81">
        <f>MAX(0,I81-H81)</f>
        <v>0</v>
      </c>
      <c r="R81" t="str">
        <f t="shared" si="4"/>
        <v>High</v>
      </c>
      <c r="S81" t="str">
        <f t="shared" si="5"/>
        <v>Completed</v>
      </c>
      <c r="T81">
        <f t="shared" si="6"/>
        <v>6655.5</v>
      </c>
      <c r="U81">
        <f t="shared" si="7"/>
        <v>0</v>
      </c>
    </row>
    <row r="82" spans="1:21">
      <c r="A82" t="s">
        <v>119</v>
      </c>
      <c r="B82" s="2">
        <v>46274</v>
      </c>
      <c r="C82" t="s">
        <v>41</v>
      </c>
      <c r="D82" t="s">
        <v>32</v>
      </c>
      <c r="E82">
        <v>19</v>
      </c>
      <c r="F82" s="3">
        <v>3871</v>
      </c>
      <c r="G82" s="4">
        <v>15</v>
      </c>
      <c r="H82">
        <v>3</v>
      </c>
      <c r="I82">
        <v>3</v>
      </c>
      <c r="J82" t="s">
        <v>30</v>
      </c>
      <c r="K82">
        <v>4</v>
      </c>
      <c r="L82" t="s">
        <v>21</v>
      </c>
      <c r="M82" t="s">
        <v>21</v>
      </c>
      <c r="N82" s="5">
        <v>19.7</v>
      </c>
      <c r="O82" t="s">
        <v>27</v>
      </c>
      <c r="P82" t="str">
        <f>IF(I82&gt;H82,"Late","On Time")</f>
        <v>On Time</v>
      </c>
      <c r="Q82">
        <f>MAX(0,I82-H82)</f>
        <v>0</v>
      </c>
      <c r="R82" t="str">
        <f t="shared" si="4"/>
        <v>High</v>
      </c>
      <c r="S82" t="str">
        <f t="shared" si="5"/>
        <v>Completed</v>
      </c>
      <c r="T82">
        <f t="shared" si="6"/>
        <v>3290.35</v>
      </c>
      <c r="U82">
        <f t="shared" si="7"/>
        <v>0</v>
      </c>
    </row>
    <row r="83" spans="1:21">
      <c r="A83" t="s">
        <v>120</v>
      </c>
      <c r="B83" s="2">
        <v>46281</v>
      </c>
      <c r="C83" t="s">
        <v>55</v>
      </c>
      <c r="D83" t="s">
        <v>47</v>
      </c>
      <c r="E83">
        <v>38</v>
      </c>
      <c r="F83" s="3">
        <v>1655</v>
      </c>
      <c r="G83" s="4">
        <v>15</v>
      </c>
      <c r="H83">
        <v>3</v>
      </c>
      <c r="I83">
        <v>4</v>
      </c>
      <c r="J83" t="s">
        <v>20</v>
      </c>
      <c r="K83">
        <v>4</v>
      </c>
      <c r="L83" t="s">
        <v>21</v>
      </c>
      <c r="M83" t="s">
        <v>21</v>
      </c>
      <c r="N83" s="5">
        <v>15.6</v>
      </c>
      <c r="O83" t="s">
        <v>22</v>
      </c>
      <c r="P83" t="str">
        <f>IF(I83&gt;H83,"Late","On Time")</f>
        <v>Late</v>
      </c>
      <c r="Q83">
        <f>MAX(0,I83-H83)</f>
        <v>1</v>
      </c>
      <c r="R83" t="str">
        <f t="shared" si="4"/>
        <v>High</v>
      </c>
      <c r="S83" t="str">
        <f t="shared" si="5"/>
        <v>Completed</v>
      </c>
      <c r="T83">
        <f t="shared" si="6"/>
        <v>1406.75</v>
      </c>
      <c r="U83">
        <f t="shared" si="7"/>
        <v>1</v>
      </c>
    </row>
    <row r="84" spans="1:21">
      <c r="A84" t="s">
        <v>121</v>
      </c>
      <c r="B84" s="2">
        <v>46239</v>
      </c>
      <c r="C84" t="s">
        <v>24</v>
      </c>
      <c r="D84" t="s">
        <v>25</v>
      </c>
      <c r="E84">
        <v>46</v>
      </c>
      <c r="F84" s="3">
        <v>2509</v>
      </c>
      <c r="G84" s="4">
        <v>15</v>
      </c>
      <c r="H84">
        <v>3</v>
      </c>
      <c r="I84">
        <v>6</v>
      </c>
      <c r="J84" t="s">
        <v>39</v>
      </c>
      <c r="K84">
        <v>2</v>
      </c>
      <c r="L84" t="s">
        <v>21</v>
      </c>
      <c r="M84" t="s">
        <v>21</v>
      </c>
      <c r="N84" s="5">
        <v>12.5</v>
      </c>
      <c r="O84" t="s">
        <v>22</v>
      </c>
      <c r="P84" t="str">
        <f>IF(I84&gt;H84,"Late","On Time")</f>
        <v>Late</v>
      </c>
      <c r="Q84">
        <f>MAX(0,I84-H84)</f>
        <v>3</v>
      </c>
      <c r="R84" t="str">
        <f t="shared" si="4"/>
        <v>Low</v>
      </c>
      <c r="S84" t="str">
        <f t="shared" si="5"/>
        <v>Completed</v>
      </c>
      <c r="T84">
        <f t="shared" si="6"/>
        <v>2132.65</v>
      </c>
      <c r="U84">
        <f t="shared" si="7"/>
        <v>1</v>
      </c>
    </row>
    <row r="85" spans="1:21">
      <c r="A85" t="s">
        <v>122</v>
      </c>
      <c r="B85" s="2">
        <v>46261</v>
      </c>
      <c r="C85" t="s">
        <v>18</v>
      </c>
      <c r="D85" t="s">
        <v>38</v>
      </c>
      <c r="E85">
        <v>23</v>
      </c>
      <c r="F85" s="3">
        <v>2529</v>
      </c>
      <c r="G85" s="4">
        <v>0</v>
      </c>
      <c r="H85">
        <v>3</v>
      </c>
      <c r="I85">
        <v>3</v>
      </c>
      <c r="J85" t="s">
        <v>26</v>
      </c>
      <c r="K85">
        <v>5</v>
      </c>
      <c r="L85" t="s">
        <v>21</v>
      </c>
      <c r="M85" t="s">
        <v>21</v>
      </c>
      <c r="N85" s="5">
        <v>4.0999999999999996</v>
      </c>
      <c r="O85" t="s">
        <v>27</v>
      </c>
      <c r="P85" t="str">
        <f>IF(I85&gt;H85,"Late","On Time")</f>
        <v>On Time</v>
      </c>
      <c r="Q85">
        <f>MAX(0,I85-H85)</f>
        <v>0</v>
      </c>
      <c r="R85" t="str">
        <f t="shared" si="4"/>
        <v>High</v>
      </c>
      <c r="S85" t="str">
        <f t="shared" si="5"/>
        <v>Completed</v>
      </c>
      <c r="T85">
        <f t="shared" si="6"/>
        <v>2529</v>
      </c>
      <c r="U85">
        <f t="shared" si="7"/>
        <v>0</v>
      </c>
    </row>
    <row r="86" spans="1:21">
      <c r="A86" t="s">
        <v>123</v>
      </c>
      <c r="B86" s="2">
        <v>46258</v>
      </c>
      <c r="C86" t="s">
        <v>35</v>
      </c>
      <c r="D86" t="s">
        <v>38</v>
      </c>
      <c r="E86">
        <v>45</v>
      </c>
      <c r="F86" s="3">
        <v>1277</v>
      </c>
      <c r="G86" s="4">
        <v>10</v>
      </c>
      <c r="H86">
        <v>3</v>
      </c>
      <c r="I86">
        <v>4</v>
      </c>
      <c r="J86" t="s">
        <v>20</v>
      </c>
      <c r="K86">
        <v>3</v>
      </c>
      <c r="L86" t="s">
        <v>21</v>
      </c>
      <c r="M86" t="s">
        <v>21</v>
      </c>
      <c r="N86" s="5">
        <v>9.8000000000000007</v>
      </c>
      <c r="O86" t="s">
        <v>27</v>
      </c>
      <c r="P86" t="str">
        <f>IF(I86&gt;H86,"Late","On Time")</f>
        <v>Late</v>
      </c>
      <c r="Q86">
        <f>MAX(0,I86-H86)</f>
        <v>1</v>
      </c>
      <c r="R86" t="str">
        <f t="shared" si="4"/>
        <v>Medium</v>
      </c>
      <c r="S86" t="str">
        <f t="shared" si="5"/>
        <v>Completed</v>
      </c>
      <c r="T86">
        <f t="shared" si="6"/>
        <v>1149.3</v>
      </c>
      <c r="U86">
        <f t="shared" si="7"/>
        <v>1</v>
      </c>
    </row>
    <row r="87" spans="1:21">
      <c r="A87" t="s">
        <v>124</v>
      </c>
      <c r="B87" s="2">
        <v>46236</v>
      </c>
      <c r="C87" t="s">
        <v>18</v>
      </c>
      <c r="D87" t="s">
        <v>38</v>
      </c>
      <c r="E87">
        <v>35</v>
      </c>
      <c r="F87" s="3">
        <v>1255</v>
      </c>
      <c r="G87" s="4">
        <v>20</v>
      </c>
      <c r="H87">
        <v>3</v>
      </c>
      <c r="I87">
        <v>4</v>
      </c>
      <c r="J87" t="s">
        <v>30</v>
      </c>
      <c r="K87">
        <v>4</v>
      </c>
      <c r="L87" t="s">
        <v>21</v>
      </c>
      <c r="M87" t="s">
        <v>56</v>
      </c>
      <c r="N87" s="5">
        <v>22.9</v>
      </c>
      <c r="O87" t="s">
        <v>59</v>
      </c>
      <c r="P87" t="str">
        <f>IF(I87&gt;H87,"Late","On Time")</f>
        <v>Late</v>
      </c>
      <c r="Q87">
        <f>MAX(0,I87-H87)</f>
        <v>1</v>
      </c>
      <c r="R87" t="str">
        <f t="shared" si="4"/>
        <v>High</v>
      </c>
      <c r="S87" t="str">
        <f t="shared" si="5"/>
        <v>Returned</v>
      </c>
      <c r="T87">
        <f t="shared" si="6"/>
        <v>1004</v>
      </c>
      <c r="U87">
        <f t="shared" si="7"/>
        <v>1</v>
      </c>
    </row>
    <row r="88" spans="1:21">
      <c r="A88" t="s">
        <v>125</v>
      </c>
      <c r="B88" s="2">
        <v>46261</v>
      </c>
      <c r="C88" t="s">
        <v>24</v>
      </c>
      <c r="D88" t="s">
        <v>29</v>
      </c>
      <c r="E88">
        <v>37</v>
      </c>
      <c r="F88" s="3">
        <v>2537</v>
      </c>
      <c r="G88" s="4">
        <v>5</v>
      </c>
      <c r="H88">
        <v>3</v>
      </c>
      <c r="I88">
        <v>3</v>
      </c>
      <c r="J88" t="s">
        <v>39</v>
      </c>
      <c r="K88">
        <v>5</v>
      </c>
      <c r="L88" t="s">
        <v>21</v>
      </c>
      <c r="M88" t="s">
        <v>56</v>
      </c>
      <c r="N88" s="5">
        <v>16.5</v>
      </c>
      <c r="O88" t="s">
        <v>22</v>
      </c>
      <c r="P88" t="str">
        <f>IF(I88&gt;H88,"Late","On Time")</f>
        <v>On Time</v>
      </c>
      <c r="Q88">
        <f>MAX(0,I88-H88)</f>
        <v>0</v>
      </c>
      <c r="R88" t="str">
        <f t="shared" si="4"/>
        <v>High</v>
      </c>
      <c r="S88" t="str">
        <f t="shared" si="5"/>
        <v>Returned</v>
      </c>
      <c r="T88">
        <f t="shared" si="6"/>
        <v>2410.15</v>
      </c>
      <c r="U88">
        <f t="shared" si="7"/>
        <v>0</v>
      </c>
    </row>
    <row r="89" spans="1:21">
      <c r="A89" t="s">
        <v>126</v>
      </c>
      <c r="B89" s="2">
        <v>46278</v>
      </c>
      <c r="C89" t="s">
        <v>41</v>
      </c>
      <c r="D89" t="s">
        <v>29</v>
      </c>
      <c r="E89">
        <v>28</v>
      </c>
      <c r="F89" s="3">
        <v>2071</v>
      </c>
      <c r="G89" s="4">
        <v>10</v>
      </c>
      <c r="H89">
        <v>3</v>
      </c>
      <c r="I89">
        <v>4</v>
      </c>
      <c r="J89" t="s">
        <v>26</v>
      </c>
      <c r="K89">
        <v>4</v>
      </c>
      <c r="L89" t="s">
        <v>21</v>
      </c>
      <c r="M89" t="s">
        <v>21</v>
      </c>
      <c r="N89" s="5">
        <v>20.6</v>
      </c>
      <c r="O89" t="s">
        <v>22</v>
      </c>
      <c r="P89" t="str">
        <f>IF(I89&gt;H89,"Late","On Time")</f>
        <v>Late</v>
      </c>
      <c r="Q89">
        <f>MAX(0,I89-H89)</f>
        <v>1</v>
      </c>
      <c r="R89" t="str">
        <f t="shared" si="4"/>
        <v>High</v>
      </c>
      <c r="S89" t="str">
        <f t="shared" si="5"/>
        <v>Completed</v>
      </c>
      <c r="T89">
        <f t="shared" si="6"/>
        <v>1863.9</v>
      </c>
      <c r="U89">
        <f t="shared" si="7"/>
        <v>1</v>
      </c>
    </row>
    <row r="90" spans="1:21">
      <c r="A90" t="s">
        <v>127</v>
      </c>
      <c r="B90" s="2">
        <v>46277</v>
      </c>
      <c r="C90" t="s">
        <v>18</v>
      </c>
      <c r="D90" t="s">
        <v>29</v>
      </c>
      <c r="E90">
        <v>46</v>
      </c>
      <c r="F90" s="3">
        <v>2685</v>
      </c>
      <c r="G90" s="4">
        <v>15</v>
      </c>
      <c r="H90">
        <v>3</v>
      </c>
      <c r="I90">
        <v>2</v>
      </c>
      <c r="J90" t="s">
        <v>20</v>
      </c>
      <c r="K90">
        <v>4</v>
      </c>
      <c r="L90" t="s">
        <v>21</v>
      </c>
      <c r="M90" t="s">
        <v>21</v>
      </c>
      <c r="N90" s="5">
        <v>8.6999999999999993</v>
      </c>
      <c r="O90" t="s">
        <v>22</v>
      </c>
      <c r="P90" t="str">
        <f>IF(I90&gt;H90,"Late","On Time")</f>
        <v>On Time</v>
      </c>
      <c r="Q90">
        <f>MAX(0,I90-H90)</f>
        <v>0</v>
      </c>
      <c r="R90" t="str">
        <f t="shared" si="4"/>
        <v>High</v>
      </c>
      <c r="S90" t="str">
        <f t="shared" si="5"/>
        <v>Completed</v>
      </c>
      <c r="T90">
        <f t="shared" si="6"/>
        <v>2282.25</v>
      </c>
      <c r="U90">
        <f t="shared" si="7"/>
        <v>0</v>
      </c>
    </row>
    <row r="91" spans="1:21">
      <c r="A91" t="s">
        <v>128</v>
      </c>
      <c r="B91" s="2">
        <v>46282</v>
      </c>
      <c r="C91" t="s">
        <v>35</v>
      </c>
      <c r="D91" t="s">
        <v>19</v>
      </c>
      <c r="E91">
        <v>32</v>
      </c>
      <c r="F91" s="3">
        <v>556</v>
      </c>
      <c r="G91" s="4">
        <v>15</v>
      </c>
      <c r="H91">
        <v>3</v>
      </c>
      <c r="I91">
        <v>3</v>
      </c>
      <c r="J91" t="s">
        <v>39</v>
      </c>
      <c r="K91">
        <v>5</v>
      </c>
      <c r="L91" t="s">
        <v>21</v>
      </c>
      <c r="M91" t="s">
        <v>21</v>
      </c>
      <c r="N91" s="5">
        <v>3</v>
      </c>
      <c r="O91" t="s">
        <v>27</v>
      </c>
      <c r="P91" t="str">
        <f>IF(I91&gt;H91,"Late","On Time")</f>
        <v>On Time</v>
      </c>
      <c r="Q91">
        <f>MAX(0,I91-H91)</f>
        <v>0</v>
      </c>
      <c r="R91" t="str">
        <f t="shared" si="4"/>
        <v>High</v>
      </c>
      <c r="S91" t="str">
        <f t="shared" si="5"/>
        <v>Completed</v>
      </c>
      <c r="T91">
        <f t="shared" si="6"/>
        <v>472.59999999999997</v>
      </c>
      <c r="U91">
        <f t="shared" si="7"/>
        <v>0</v>
      </c>
    </row>
    <row r="92" spans="1:21">
      <c r="A92" t="s">
        <v>129</v>
      </c>
      <c r="B92" s="2">
        <v>46255</v>
      </c>
      <c r="C92" t="s">
        <v>41</v>
      </c>
      <c r="D92" t="s">
        <v>36</v>
      </c>
      <c r="E92">
        <v>26</v>
      </c>
      <c r="F92" s="3">
        <v>1233</v>
      </c>
      <c r="G92" s="4">
        <v>20</v>
      </c>
      <c r="H92">
        <v>4</v>
      </c>
      <c r="I92">
        <v>3</v>
      </c>
      <c r="J92" t="s">
        <v>26</v>
      </c>
      <c r="K92">
        <v>4</v>
      </c>
      <c r="L92" t="s">
        <v>21</v>
      </c>
      <c r="M92" t="s">
        <v>21</v>
      </c>
      <c r="N92" s="5">
        <v>23.6</v>
      </c>
      <c r="O92" t="s">
        <v>27</v>
      </c>
      <c r="P92" t="str">
        <f>IF(I92&gt;H92,"Late","On Time")</f>
        <v>On Time</v>
      </c>
      <c r="Q92">
        <f>MAX(0,I92-H92)</f>
        <v>0</v>
      </c>
      <c r="R92" t="str">
        <f t="shared" si="4"/>
        <v>High</v>
      </c>
      <c r="S92" t="str">
        <f t="shared" si="5"/>
        <v>Completed</v>
      </c>
      <c r="T92">
        <f t="shared" si="6"/>
        <v>986.40000000000009</v>
      </c>
      <c r="U92">
        <f t="shared" si="7"/>
        <v>0</v>
      </c>
    </row>
    <row r="93" spans="1:21">
      <c r="A93" t="s">
        <v>130</v>
      </c>
      <c r="B93" s="2">
        <v>46240</v>
      </c>
      <c r="C93" t="s">
        <v>55</v>
      </c>
      <c r="D93" t="s">
        <v>25</v>
      </c>
      <c r="E93">
        <v>54</v>
      </c>
      <c r="F93" s="3">
        <v>2039</v>
      </c>
      <c r="G93" s="4">
        <v>15</v>
      </c>
      <c r="H93">
        <v>2</v>
      </c>
      <c r="I93">
        <v>2</v>
      </c>
      <c r="J93" t="s">
        <v>30</v>
      </c>
      <c r="K93">
        <v>4</v>
      </c>
      <c r="L93" t="s">
        <v>21</v>
      </c>
      <c r="M93" t="s">
        <v>21</v>
      </c>
      <c r="N93" s="5">
        <v>9.1999999999999993</v>
      </c>
      <c r="O93" t="s">
        <v>22</v>
      </c>
      <c r="P93" t="str">
        <f>IF(I93&gt;H93,"Late","On Time")</f>
        <v>On Time</v>
      </c>
      <c r="Q93">
        <f>MAX(0,I93-H93)</f>
        <v>0</v>
      </c>
      <c r="R93" t="str">
        <f t="shared" si="4"/>
        <v>High</v>
      </c>
      <c r="S93" t="str">
        <f t="shared" si="5"/>
        <v>Completed</v>
      </c>
      <c r="T93">
        <f t="shared" si="6"/>
        <v>1733.1499999999999</v>
      </c>
      <c r="U93">
        <f t="shared" si="7"/>
        <v>0</v>
      </c>
    </row>
    <row r="94" spans="1:21">
      <c r="A94" t="s">
        <v>131</v>
      </c>
      <c r="B94" s="2">
        <v>46267</v>
      </c>
      <c r="C94" t="s">
        <v>41</v>
      </c>
      <c r="D94" t="s">
        <v>38</v>
      </c>
      <c r="E94">
        <v>24</v>
      </c>
      <c r="F94" s="3">
        <v>2667</v>
      </c>
      <c r="G94" s="4">
        <v>20</v>
      </c>
      <c r="H94">
        <v>2</v>
      </c>
      <c r="I94">
        <v>2</v>
      </c>
      <c r="J94" t="s">
        <v>20</v>
      </c>
      <c r="K94">
        <v>4</v>
      </c>
      <c r="L94" t="s">
        <v>21</v>
      </c>
      <c r="M94" t="s">
        <v>21</v>
      </c>
      <c r="N94" s="5">
        <v>12</v>
      </c>
      <c r="O94" t="s">
        <v>22</v>
      </c>
      <c r="P94" t="str">
        <f>IF(I94&gt;H94,"Late","On Time")</f>
        <v>On Time</v>
      </c>
      <c r="Q94">
        <f>MAX(0,I94-H94)</f>
        <v>0</v>
      </c>
      <c r="R94" t="str">
        <f t="shared" si="4"/>
        <v>High</v>
      </c>
      <c r="S94" t="str">
        <f t="shared" si="5"/>
        <v>Completed</v>
      </c>
      <c r="T94">
        <f t="shared" si="6"/>
        <v>2133.6</v>
      </c>
      <c r="U94">
        <f t="shared" si="7"/>
        <v>0</v>
      </c>
    </row>
    <row r="95" spans="1:21">
      <c r="A95" t="s">
        <v>132</v>
      </c>
      <c r="B95" s="2">
        <v>46264</v>
      </c>
      <c r="C95" t="s">
        <v>24</v>
      </c>
      <c r="D95" t="s">
        <v>38</v>
      </c>
      <c r="E95">
        <v>40</v>
      </c>
      <c r="F95" s="3">
        <v>2998</v>
      </c>
      <c r="G95" s="4">
        <v>10</v>
      </c>
      <c r="H95">
        <v>3</v>
      </c>
      <c r="I95">
        <v>4</v>
      </c>
      <c r="J95" t="s">
        <v>39</v>
      </c>
      <c r="K95">
        <v>3</v>
      </c>
      <c r="L95" t="s">
        <v>21</v>
      </c>
      <c r="M95" t="s">
        <v>21</v>
      </c>
      <c r="N95" s="5">
        <v>7.8</v>
      </c>
      <c r="O95" t="s">
        <v>27</v>
      </c>
      <c r="P95" t="str">
        <f>IF(I95&gt;H95,"Late","On Time")</f>
        <v>Late</v>
      </c>
      <c r="Q95">
        <f>MAX(0,I95-H95)</f>
        <v>1</v>
      </c>
      <c r="R95" t="str">
        <f t="shared" si="4"/>
        <v>Medium</v>
      </c>
      <c r="S95" t="str">
        <f t="shared" si="5"/>
        <v>Completed</v>
      </c>
      <c r="T95">
        <f t="shared" si="6"/>
        <v>2698.2000000000003</v>
      </c>
      <c r="U95">
        <f t="shared" si="7"/>
        <v>1</v>
      </c>
    </row>
    <row r="96" spans="1:21">
      <c r="A96" t="s">
        <v>133</v>
      </c>
      <c r="B96" s="2">
        <v>46272</v>
      </c>
      <c r="C96" t="s">
        <v>55</v>
      </c>
      <c r="D96" t="s">
        <v>38</v>
      </c>
      <c r="E96">
        <v>55</v>
      </c>
      <c r="F96" s="3">
        <v>250</v>
      </c>
      <c r="G96" s="4">
        <v>20</v>
      </c>
      <c r="H96">
        <v>3</v>
      </c>
      <c r="I96">
        <v>3</v>
      </c>
      <c r="J96" t="s">
        <v>30</v>
      </c>
      <c r="K96">
        <v>4</v>
      </c>
      <c r="L96" t="s">
        <v>21</v>
      </c>
      <c r="M96" t="s">
        <v>21</v>
      </c>
      <c r="N96" s="5">
        <v>10.1</v>
      </c>
      <c r="O96" t="s">
        <v>27</v>
      </c>
      <c r="P96" t="str">
        <f>IF(I96&gt;H96,"Late","On Time")</f>
        <v>On Time</v>
      </c>
      <c r="Q96">
        <f>MAX(0,I96-H96)</f>
        <v>0</v>
      </c>
      <c r="R96" t="str">
        <f t="shared" si="4"/>
        <v>High</v>
      </c>
      <c r="S96" t="str">
        <f t="shared" si="5"/>
        <v>Completed</v>
      </c>
      <c r="T96">
        <f t="shared" si="6"/>
        <v>200</v>
      </c>
      <c r="U96">
        <f t="shared" si="7"/>
        <v>0</v>
      </c>
    </row>
    <row r="97" spans="1:21">
      <c r="A97" t="s">
        <v>134</v>
      </c>
      <c r="B97" s="2">
        <v>46273</v>
      </c>
      <c r="C97" t="s">
        <v>18</v>
      </c>
      <c r="D97" t="s">
        <v>29</v>
      </c>
      <c r="E97">
        <v>50</v>
      </c>
      <c r="F97" s="3">
        <v>5991</v>
      </c>
      <c r="G97" s="4">
        <v>0</v>
      </c>
      <c r="H97">
        <v>3</v>
      </c>
      <c r="I97">
        <v>5</v>
      </c>
      <c r="J97" t="s">
        <v>20</v>
      </c>
      <c r="K97">
        <v>3</v>
      </c>
      <c r="L97" t="s">
        <v>56</v>
      </c>
      <c r="M97" t="s">
        <v>21</v>
      </c>
      <c r="N97" s="5">
        <v>13.7</v>
      </c>
      <c r="O97" t="s">
        <v>22</v>
      </c>
      <c r="P97" t="str">
        <f>IF(I97&gt;H97,"Late","On Time")</f>
        <v>Late</v>
      </c>
      <c r="Q97">
        <f>MAX(0,I97-H97)</f>
        <v>2</v>
      </c>
      <c r="R97" t="str">
        <f t="shared" si="4"/>
        <v>Medium</v>
      </c>
      <c r="S97" t="str">
        <f t="shared" si="5"/>
        <v>Cancelled</v>
      </c>
      <c r="T97">
        <f t="shared" si="6"/>
        <v>5991</v>
      </c>
      <c r="U97">
        <f t="shared" si="7"/>
        <v>1</v>
      </c>
    </row>
    <row r="98" spans="1:21">
      <c r="A98" t="s">
        <v>135</v>
      </c>
      <c r="B98" s="2">
        <v>46256</v>
      </c>
      <c r="C98" t="s">
        <v>55</v>
      </c>
      <c r="D98" t="s">
        <v>25</v>
      </c>
      <c r="E98">
        <v>47</v>
      </c>
      <c r="F98" s="3">
        <v>250</v>
      </c>
      <c r="G98" s="4">
        <v>25</v>
      </c>
      <c r="H98">
        <v>1</v>
      </c>
      <c r="I98">
        <v>1</v>
      </c>
      <c r="J98" t="s">
        <v>26</v>
      </c>
      <c r="K98">
        <v>4</v>
      </c>
      <c r="L98" t="s">
        <v>21</v>
      </c>
      <c r="M98" t="s">
        <v>21</v>
      </c>
      <c r="N98" s="5">
        <v>13.4</v>
      </c>
      <c r="O98" t="s">
        <v>27</v>
      </c>
      <c r="P98" t="str">
        <f>IF(I98&gt;H98,"Late","On Time")</f>
        <v>On Time</v>
      </c>
      <c r="Q98">
        <f>MAX(0,I98-H98)</f>
        <v>0</v>
      </c>
      <c r="R98" t="str">
        <f t="shared" si="4"/>
        <v>High</v>
      </c>
      <c r="S98" t="str">
        <f t="shared" si="5"/>
        <v>Completed</v>
      </c>
      <c r="T98">
        <f t="shared" si="6"/>
        <v>187.5</v>
      </c>
      <c r="U98">
        <f t="shared" si="7"/>
        <v>0</v>
      </c>
    </row>
    <row r="99" spans="1:21">
      <c r="A99" t="s">
        <v>136</v>
      </c>
      <c r="B99" s="2">
        <v>46256</v>
      </c>
      <c r="C99" t="s">
        <v>18</v>
      </c>
      <c r="D99" t="s">
        <v>47</v>
      </c>
      <c r="E99">
        <v>29</v>
      </c>
      <c r="F99" s="3">
        <v>1197</v>
      </c>
      <c r="G99" s="4">
        <v>0</v>
      </c>
      <c r="H99">
        <v>3</v>
      </c>
      <c r="I99">
        <v>4</v>
      </c>
      <c r="J99" t="s">
        <v>39</v>
      </c>
      <c r="K99">
        <v>4</v>
      </c>
      <c r="L99" t="s">
        <v>21</v>
      </c>
      <c r="M99" t="s">
        <v>21</v>
      </c>
      <c r="N99" s="5">
        <v>20.3</v>
      </c>
      <c r="O99" t="s">
        <v>27</v>
      </c>
      <c r="P99" t="str">
        <f>IF(I99&gt;H99,"Late","On Time")</f>
        <v>Late</v>
      </c>
      <c r="Q99">
        <f>MAX(0,I99-H99)</f>
        <v>1</v>
      </c>
      <c r="R99" t="str">
        <f t="shared" si="4"/>
        <v>High</v>
      </c>
      <c r="S99" t="str">
        <f t="shared" si="5"/>
        <v>Completed</v>
      </c>
      <c r="T99">
        <f t="shared" si="6"/>
        <v>1197</v>
      </c>
      <c r="U99">
        <f t="shared" si="7"/>
        <v>1</v>
      </c>
    </row>
    <row r="100" spans="1:21">
      <c r="A100" t="s">
        <v>137</v>
      </c>
      <c r="B100" s="2">
        <v>46254</v>
      </c>
      <c r="C100" t="s">
        <v>55</v>
      </c>
      <c r="D100" t="s">
        <v>19</v>
      </c>
      <c r="E100">
        <v>39</v>
      </c>
      <c r="F100" s="3">
        <v>1644</v>
      </c>
      <c r="G100" s="4">
        <v>25</v>
      </c>
      <c r="H100">
        <v>2</v>
      </c>
      <c r="I100">
        <v>3</v>
      </c>
      <c r="J100" t="s">
        <v>30</v>
      </c>
      <c r="K100">
        <v>4</v>
      </c>
      <c r="L100" t="s">
        <v>21</v>
      </c>
      <c r="M100" t="s">
        <v>21</v>
      </c>
      <c r="N100" s="5">
        <v>9</v>
      </c>
      <c r="O100" t="s">
        <v>27</v>
      </c>
      <c r="P100" t="str">
        <f>IF(I100&gt;H100,"Late","On Time")</f>
        <v>Late</v>
      </c>
      <c r="Q100">
        <f>MAX(0,I100-H100)</f>
        <v>1</v>
      </c>
      <c r="R100" t="str">
        <f t="shared" si="4"/>
        <v>High</v>
      </c>
      <c r="S100" t="str">
        <f t="shared" si="5"/>
        <v>Completed</v>
      </c>
      <c r="T100">
        <f t="shared" si="6"/>
        <v>1233</v>
      </c>
      <c r="U100">
        <f t="shared" si="7"/>
        <v>1</v>
      </c>
    </row>
    <row r="101" spans="1:21">
      <c r="A101" t="s">
        <v>138</v>
      </c>
      <c r="B101" s="2">
        <v>46240</v>
      </c>
      <c r="C101" t="s">
        <v>41</v>
      </c>
      <c r="D101" t="s">
        <v>36</v>
      </c>
      <c r="E101">
        <v>23</v>
      </c>
      <c r="F101" s="3">
        <v>2815</v>
      </c>
      <c r="G101" s="4">
        <v>10</v>
      </c>
      <c r="H101">
        <v>4</v>
      </c>
      <c r="I101">
        <v>4</v>
      </c>
      <c r="J101" t="s">
        <v>20</v>
      </c>
      <c r="K101">
        <v>5</v>
      </c>
      <c r="L101" t="s">
        <v>21</v>
      </c>
      <c r="M101" t="s">
        <v>21</v>
      </c>
      <c r="N101" s="5">
        <v>11.5</v>
      </c>
      <c r="O101" t="s">
        <v>22</v>
      </c>
      <c r="P101" t="str">
        <f>IF(I101&gt;H101,"Late","On Time")</f>
        <v>On Time</v>
      </c>
      <c r="Q101">
        <f>MAX(0,I101-H101)</f>
        <v>0</v>
      </c>
      <c r="R101" t="str">
        <f t="shared" si="4"/>
        <v>High</v>
      </c>
      <c r="S101" t="str">
        <f t="shared" si="5"/>
        <v>Completed</v>
      </c>
      <c r="T101">
        <f t="shared" si="6"/>
        <v>2533.5</v>
      </c>
      <c r="U101">
        <f t="shared" si="7"/>
        <v>0</v>
      </c>
    </row>
    <row r="102" spans="1:21">
      <c r="A102" t="s">
        <v>139</v>
      </c>
      <c r="B102" s="2">
        <v>46269</v>
      </c>
      <c r="C102" t="s">
        <v>41</v>
      </c>
      <c r="D102" t="s">
        <v>47</v>
      </c>
      <c r="E102">
        <v>41</v>
      </c>
      <c r="F102" s="3">
        <v>3624</v>
      </c>
      <c r="G102" s="4">
        <v>5</v>
      </c>
      <c r="H102">
        <v>3</v>
      </c>
      <c r="I102">
        <v>3</v>
      </c>
      <c r="J102" t="s">
        <v>20</v>
      </c>
      <c r="K102">
        <v>5</v>
      </c>
      <c r="L102" t="s">
        <v>21</v>
      </c>
      <c r="M102" t="s">
        <v>21</v>
      </c>
      <c r="N102" s="5">
        <v>26.6</v>
      </c>
      <c r="O102" t="s">
        <v>22</v>
      </c>
      <c r="P102" t="str">
        <f>IF(I102&gt;H102,"Late","On Time")</f>
        <v>On Time</v>
      </c>
      <c r="Q102">
        <f>MAX(0,I102-H102)</f>
        <v>0</v>
      </c>
      <c r="R102" t="str">
        <f t="shared" si="4"/>
        <v>High</v>
      </c>
      <c r="S102" t="str">
        <f t="shared" si="5"/>
        <v>Completed</v>
      </c>
      <c r="T102">
        <f t="shared" si="6"/>
        <v>3442.7999999999997</v>
      </c>
      <c r="U102">
        <f t="shared" si="7"/>
        <v>0</v>
      </c>
    </row>
    <row r="103" spans="1:21">
      <c r="A103" t="s">
        <v>140</v>
      </c>
      <c r="B103" s="2">
        <v>46237</v>
      </c>
      <c r="C103" t="s">
        <v>55</v>
      </c>
      <c r="D103" t="s">
        <v>19</v>
      </c>
      <c r="E103">
        <v>39</v>
      </c>
      <c r="F103" s="3">
        <v>1458</v>
      </c>
      <c r="G103" s="4">
        <v>20</v>
      </c>
      <c r="H103">
        <v>2</v>
      </c>
      <c r="I103">
        <v>3</v>
      </c>
      <c r="J103" t="s">
        <v>39</v>
      </c>
      <c r="K103">
        <v>4</v>
      </c>
      <c r="L103" t="s">
        <v>21</v>
      </c>
      <c r="M103" t="s">
        <v>21</v>
      </c>
      <c r="N103" s="5">
        <v>17.3</v>
      </c>
      <c r="O103" t="s">
        <v>27</v>
      </c>
      <c r="P103" t="str">
        <f>IF(I103&gt;H103,"Late","On Time")</f>
        <v>Late</v>
      </c>
      <c r="Q103">
        <f>MAX(0,I103-H103)</f>
        <v>1</v>
      </c>
      <c r="R103" t="str">
        <f t="shared" si="4"/>
        <v>High</v>
      </c>
      <c r="S103" t="str">
        <f t="shared" si="5"/>
        <v>Completed</v>
      </c>
      <c r="T103">
        <f t="shared" si="6"/>
        <v>1166.4000000000001</v>
      </c>
      <c r="U103">
        <f t="shared" si="7"/>
        <v>1</v>
      </c>
    </row>
    <row r="104" spans="1:21">
      <c r="A104" t="s">
        <v>141</v>
      </c>
      <c r="B104" s="2">
        <v>46264</v>
      </c>
      <c r="C104" t="s">
        <v>41</v>
      </c>
      <c r="D104" t="s">
        <v>29</v>
      </c>
      <c r="E104">
        <v>33</v>
      </c>
      <c r="F104" s="3">
        <v>4218</v>
      </c>
      <c r="G104" s="4">
        <v>25</v>
      </c>
      <c r="H104">
        <v>3</v>
      </c>
      <c r="I104">
        <v>6</v>
      </c>
      <c r="J104" t="s">
        <v>39</v>
      </c>
      <c r="K104">
        <v>3</v>
      </c>
      <c r="L104" t="s">
        <v>21</v>
      </c>
      <c r="M104" t="s">
        <v>21</v>
      </c>
      <c r="N104" s="5">
        <v>7.7</v>
      </c>
      <c r="O104" t="s">
        <v>22</v>
      </c>
      <c r="P104" t="str">
        <f>IF(I104&gt;H104,"Late","On Time")</f>
        <v>Late</v>
      </c>
      <c r="Q104">
        <f>MAX(0,I104-H104)</f>
        <v>3</v>
      </c>
      <c r="R104" t="str">
        <f t="shared" si="4"/>
        <v>Medium</v>
      </c>
      <c r="S104" t="str">
        <f t="shared" si="5"/>
        <v>Completed</v>
      </c>
      <c r="T104">
        <f t="shared" si="6"/>
        <v>3163.5</v>
      </c>
      <c r="U104">
        <f t="shared" si="7"/>
        <v>1</v>
      </c>
    </row>
    <row r="105" spans="1:21">
      <c r="A105" t="s">
        <v>142</v>
      </c>
      <c r="B105" s="2">
        <v>46270</v>
      </c>
      <c r="C105" t="s">
        <v>35</v>
      </c>
      <c r="D105" t="s">
        <v>38</v>
      </c>
      <c r="E105">
        <v>42</v>
      </c>
      <c r="F105" s="3">
        <v>808</v>
      </c>
      <c r="G105" s="4">
        <v>20</v>
      </c>
      <c r="H105">
        <v>3</v>
      </c>
      <c r="I105">
        <v>4</v>
      </c>
      <c r="J105" t="s">
        <v>30</v>
      </c>
      <c r="K105">
        <v>4</v>
      </c>
      <c r="L105" t="s">
        <v>21</v>
      </c>
      <c r="M105" t="s">
        <v>21</v>
      </c>
      <c r="N105" s="5">
        <v>12.6</v>
      </c>
      <c r="O105" t="s">
        <v>22</v>
      </c>
      <c r="P105" t="str">
        <f>IF(I105&gt;H105,"Late","On Time")</f>
        <v>Late</v>
      </c>
      <c r="Q105">
        <f>MAX(0,I105-H105)</f>
        <v>1</v>
      </c>
      <c r="R105" t="str">
        <f t="shared" si="4"/>
        <v>High</v>
      </c>
      <c r="S105" t="str">
        <f t="shared" si="5"/>
        <v>Completed</v>
      </c>
      <c r="T105">
        <f t="shared" si="6"/>
        <v>646.40000000000009</v>
      </c>
      <c r="U105">
        <f t="shared" si="7"/>
        <v>1</v>
      </c>
    </row>
    <row r="106" spans="1:21">
      <c r="A106" t="s">
        <v>143</v>
      </c>
      <c r="B106" s="2">
        <v>46261</v>
      </c>
      <c r="C106" t="s">
        <v>18</v>
      </c>
      <c r="D106" t="s">
        <v>32</v>
      </c>
      <c r="E106">
        <v>51</v>
      </c>
      <c r="F106" s="3">
        <v>5415</v>
      </c>
      <c r="G106" s="4">
        <v>5</v>
      </c>
      <c r="H106">
        <v>3</v>
      </c>
      <c r="I106">
        <v>3</v>
      </c>
      <c r="J106" t="s">
        <v>26</v>
      </c>
      <c r="K106">
        <v>4</v>
      </c>
      <c r="L106" t="s">
        <v>21</v>
      </c>
      <c r="M106" t="s">
        <v>21</v>
      </c>
      <c r="N106" s="5">
        <v>13.4</v>
      </c>
      <c r="O106" t="s">
        <v>22</v>
      </c>
      <c r="P106" t="str">
        <f>IF(I106&gt;H106,"Late","On Time")</f>
        <v>On Time</v>
      </c>
      <c r="Q106">
        <f>MAX(0,I106-H106)</f>
        <v>0</v>
      </c>
      <c r="R106" t="str">
        <f t="shared" si="4"/>
        <v>High</v>
      </c>
      <c r="S106" t="str">
        <f t="shared" si="5"/>
        <v>Completed</v>
      </c>
      <c r="T106">
        <f t="shared" si="6"/>
        <v>5144.25</v>
      </c>
      <c r="U106">
        <f t="shared" si="7"/>
        <v>0</v>
      </c>
    </row>
    <row r="107" spans="1:21">
      <c r="A107" t="s">
        <v>144</v>
      </c>
      <c r="B107" s="2">
        <v>46243</v>
      </c>
      <c r="C107" t="s">
        <v>18</v>
      </c>
      <c r="D107" t="s">
        <v>25</v>
      </c>
      <c r="E107">
        <v>50</v>
      </c>
      <c r="F107" s="3">
        <v>2551</v>
      </c>
      <c r="G107" s="4">
        <v>10</v>
      </c>
      <c r="H107">
        <v>3</v>
      </c>
      <c r="I107">
        <v>4</v>
      </c>
      <c r="J107" t="s">
        <v>33</v>
      </c>
      <c r="K107">
        <v>3</v>
      </c>
      <c r="L107" t="s">
        <v>21</v>
      </c>
      <c r="M107" t="s">
        <v>21</v>
      </c>
      <c r="N107" s="5">
        <v>11.7</v>
      </c>
      <c r="O107" t="s">
        <v>22</v>
      </c>
      <c r="P107" t="str">
        <f>IF(I107&gt;H107,"Late","On Time")</f>
        <v>Late</v>
      </c>
      <c r="Q107">
        <f>MAX(0,I107-H107)</f>
        <v>1</v>
      </c>
      <c r="R107" t="str">
        <f t="shared" si="4"/>
        <v>Medium</v>
      </c>
      <c r="S107" t="str">
        <f t="shared" si="5"/>
        <v>Completed</v>
      </c>
      <c r="T107">
        <f t="shared" si="6"/>
        <v>2295.9</v>
      </c>
      <c r="U107">
        <f t="shared" si="7"/>
        <v>1</v>
      </c>
    </row>
    <row r="108" spans="1:21">
      <c r="A108" t="s">
        <v>145</v>
      </c>
      <c r="B108" s="2">
        <v>46268</v>
      </c>
      <c r="C108" t="s">
        <v>18</v>
      </c>
      <c r="D108" t="s">
        <v>29</v>
      </c>
      <c r="E108">
        <v>48</v>
      </c>
      <c r="F108" s="3">
        <v>3745</v>
      </c>
      <c r="G108" s="4">
        <v>25</v>
      </c>
      <c r="H108">
        <v>3</v>
      </c>
      <c r="I108">
        <v>4</v>
      </c>
      <c r="J108" t="s">
        <v>20</v>
      </c>
      <c r="K108">
        <v>3</v>
      </c>
      <c r="L108" t="s">
        <v>21</v>
      </c>
      <c r="M108" t="s">
        <v>21</v>
      </c>
      <c r="N108" s="5">
        <v>13.4</v>
      </c>
      <c r="O108" t="s">
        <v>59</v>
      </c>
      <c r="P108" t="str">
        <f>IF(I108&gt;H108,"Late","On Time")</f>
        <v>Late</v>
      </c>
      <c r="Q108">
        <f>MAX(0,I108-H108)</f>
        <v>1</v>
      </c>
      <c r="R108" t="str">
        <f t="shared" si="4"/>
        <v>Medium</v>
      </c>
      <c r="S108" t="str">
        <f t="shared" si="5"/>
        <v>Completed</v>
      </c>
      <c r="T108">
        <f t="shared" si="6"/>
        <v>2808.75</v>
      </c>
      <c r="U108">
        <f t="shared" si="7"/>
        <v>1</v>
      </c>
    </row>
    <row r="109" spans="1:21">
      <c r="A109" t="s">
        <v>146</v>
      </c>
      <c r="B109" s="2">
        <v>46275</v>
      </c>
      <c r="C109" t="s">
        <v>41</v>
      </c>
      <c r="D109" t="s">
        <v>19</v>
      </c>
      <c r="E109">
        <v>36</v>
      </c>
      <c r="F109" s="3">
        <v>1981</v>
      </c>
      <c r="G109" s="4">
        <v>5</v>
      </c>
      <c r="H109">
        <v>3</v>
      </c>
      <c r="I109">
        <v>4</v>
      </c>
      <c r="J109" t="s">
        <v>26</v>
      </c>
      <c r="K109">
        <v>4</v>
      </c>
      <c r="L109" t="s">
        <v>21</v>
      </c>
      <c r="M109" t="s">
        <v>21</v>
      </c>
      <c r="N109" s="5">
        <v>4.7</v>
      </c>
      <c r="O109" t="s">
        <v>22</v>
      </c>
      <c r="P109" t="str">
        <f>IF(I109&gt;H109,"Late","On Time")</f>
        <v>Late</v>
      </c>
      <c r="Q109">
        <f>MAX(0,I109-H109)</f>
        <v>1</v>
      </c>
      <c r="R109" t="str">
        <f t="shared" si="4"/>
        <v>High</v>
      </c>
      <c r="S109" t="str">
        <f t="shared" si="5"/>
        <v>Completed</v>
      </c>
      <c r="T109">
        <f t="shared" si="6"/>
        <v>1881.9499999999998</v>
      </c>
      <c r="U109">
        <f t="shared" si="7"/>
        <v>1</v>
      </c>
    </row>
    <row r="110" spans="1:21">
      <c r="A110" t="s">
        <v>147</v>
      </c>
      <c r="B110" s="2">
        <v>46269</v>
      </c>
      <c r="C110" t="s">
        <v>55</v>
      </c>
      <c r="D110" t="s">
        <v>47</v>
      </c>
      <c r="E110">
        <v>33</v>
      </c>
      <c r="F110" s="3">
        <v>1302</v>
      </c>
      <c r="G110" s="4">
        <v>0</v>
      </c>
      <c r="H110">
        <v>3</v>
      </c>
      <c r="I110">
        <v>3</v>
      </c>
      <c r="J110" t="s">
        <v>20</v>
      </c>
      <c r="K110">
        <v>5</v>
      </c>
      <c r="L110" t="s">
        <v>21</v>
      </c>
      <c r="M110" t="s">
        <v>21</v>
      </c>
      <c r="N110" s="5">
        <v>10.8</v>
      </c>
      <c r="O110" t="s">
        <v>27</v>
      </c>
      <c r="P110" t="str">
        <f>IF(I110&gt;H110,"Late","On Time")</f>
        <v>On Time</v>
      </c>
      <c r="Q110">
        <f>MAX(0,I110-H110)</f>
        <v>0</v>
      </c>
      <c r="R110" t="str">
        <f t="shared" si="4"/>
        <v>High</v>
      </c>
      <c r="S110" t="str">
        <f t="shared" si="5"/>
        <v>Completed</v>
      </c>
      <c r="T110">
        <f t="shared" si="6"/>
        <v>1302</v>
      </c>
      <c r="U110">
        <f t="shared" si="7"/>
        <v>0</v>
      </c>
    </row>
    <row r="111" spans="1:21">
      <c r="A111" t="s">
        <v>148</v>
      </c>
      <c r="B111" s="2">
        <v>46250</v>
      </c>
      <c r="C111" t="s">
        <v>55</v>
      </c>
      <c r="D111" t="s">
        <v>38</v>
      </c>
      <c r="E111">
        <v>50</v>
      </c>
      <c r="F111" s="3">
        <v>911</v>
      </c>
      <c r="G111" s="4">
        <v>20</v>
      </c>
      <c r="H111">
        <v>1</v>
      </c>
      <c r="I111">
        <v>1</v>
      </c>
      <c r="J111" t="s">
        <v>30</v>
      </c>
      <c r="K111">
        <v>5</v>
      </c>
      <c r="L111" t="s">
        <v>21</v>
      </c>
      <c r="M111" t="s">
        <v>56</v>
      </c>
      <c r="N111" s="5">
        <v>11.8</v>
      </c>
      <c r="O111" t="s">
        <v>22</v>
      </c>
      <c r="P111" t="str">
        <f>IF(I111&gt;H111,"Late","On Time")</f>
        <v>On Time</v>
      </c>
      <c r="Q111">
        <f>MAX(0,I111-H111)</f>
        <v>0</v>
      </c>
      <c r="R111" t="str">
        <f t="shared" si="4"/>
        <v>High</v>
      </c>
      <c r="S111" t="str">
        <f t="shared" si="5"/>
        <v>Returned</v>
      </c>
      <c r="T111">
        <f t="shared" si="6"/>
        <v>728.80000000000007</v>
      </c>
      <c r="U111">
        <f t="shared" si="7"/>
        <v>0</v>
      </c>
    </row>
    <row r="112" spans="1:21">
      <c r="A112" t="s">
        <v>149</v>
      </c>
      <c r="B112" s="2">
        <v>46243</v>
      </c>
      <c r="C112" t="s">
        <v>18</v>
      </c>
      <c r="D112" t="s">
        <v>38</v>
      </c>
      <c r="E112">
        <v>55</v>
      </c>
      <c r="F112" s="3">
        <v>3991</v>
      </c>
      <c r="G112" s="4">
        <v>0</v>
      </c>
      <c r="H112">
        <v>3</v>
      </c>
      <c r="I112">
        <v>3</v>
      </c>
      <c r="J112" t="s">
        <v>33</v>
      </c>
      <c r="K112">
        <v>5</v>
      </c>
      <c r="L112" t="s">
        <v>21</v>
      </c>
      <c r="M112" t="s">
        <v>21</v>
      </c>
      <c r="N112" s="5">
        <v>16</v>
      </c>
      <c r="O112" t="s">
        <v>27</v>
      </c>
      <c r="P112" t="str">
        <f>IF(I112&gt;H112,"Late","On Time")</f>
        <v>On Time</v>
      </c>
      <c r="Q112">
        <f>MAX(0,I112-H112)</f>
        <v>0</v>
      </c>
      <c r="R112" t="str">
        <f t="shared" si="4"/>
        <v>High</v>
      </c>
      <c r="S112" t="str">
        <f t="shared" si="5"/>
        <v>Completed</v>
      </c>
      <c r="T112">
        <f t="shared" si="6"/>
        <v>3991</v>
      </c>
      <c r="U112">
        <f t="shared" si="7"/>
        <v>0</v>
      </c>
    </row>
    <row r="113" spans="1:21">
      <c r="A113" t="s">
        <v>150</v>
      </c>
      <c r="B113" s="2">
        <v>46251</v>
      </c>
      <c r="C113" t="s">
        <v>18</v>
      </c>
      <c r="D113" t="s">
        <v>32</v>
      </c>
      <c r="E113">
        <v>47</v>
      </c>
      <c r="F113" s="3">
        <v>1961</v>
      </c>
      <c r="G113" s="4">
        <v>0</v>
      </c>
      <c r="H113">
        <v>3</v>
      </c>
      <c r="I113">
        <v>2</v>
      </c>
      <c r="J113" t="s">
        <v>39</v>
      </c>
      <c r="K113">
        <v>4</v>
      </c>
      <c r="L113" t="s">
        <v>21</v>
      </c>
      <c r="M113" t="s">
        <v>21</v>
      </c>
      <c r="N113" s="5">
        <v>6.8</v>
      </c>
      <c r="O113" t="s">
        <v>22</v>
      </c>
      <c r="P113" t="str">
        <f>IF(I113&gt;H113,"Late","On Time")</f>
        <v>On Time</v>
      </c>
      <c r="Q113">
        <f>MAX(0,I113-H113)</f>
        <v>0</v>
      </c>
      <c r="R113" t="str">
        <f t="shared" si="4"/>
        <v>High</v>
      </c>
      <c r="S113" t="str">
        <f t="shared" si="5"/>
        <v>Completed</v>
      </c>
      <c r="T113">
        <f t="shared" si="6"/>
        <v>1961</v>
      </c>
      <c r="U113">
        <f t="shared" si="7"/>
        <v>0</v>
      </c>
    </row>
    <row r="114" spans="1:21">
      <c r="A114" t="s">
        <v>151</v>
      </c>
      <c r="B114" s="2">
        <v>46266</v>
      </c>
      <c r="C114" t="s">
        <v>18</v>
      </c>
      <c r="D114" t="s">
        <v>38</v>
      </c>
      <c r="E114">
        <v>30</v>
      </c>
      <c r="F114" s="3">
        <v>3080</v>
      </c>
      <c r="G114" s="4">
        <v>0</v>
      </c>
      <c r="H114">
        <v>3</v>
      </c>
      <c r="I114">
        <v>3</v>
      </c>
      <c r="J114" t="s">
        <v>33</v>
      </c>
      <c r="K114">
        <v>5</v>
      </c>
      <c r="L114" t="s">
        <v>21</v>
      </c>
      <c r="M114" t="s">
        <v>21</v>
      </c>
      <c r="N114" s="5">
        <v>8.6999999999999993</v>
      </c>
      <c r="O114" t="s">
        <v>27</v>
      </c>
      <c r="P114" t="str">
        <f>IF(I114&gt;H114,"Late","On Time")</f>
        <v>On Time</v>
      </c>
      <c r="Q114">
        <f>MAX(0,I114-H114)</f>
        <v>0</v>
      </c>
      <c r="R114" t="str">
        <f t="shared" si="4"/>
        <v>High</v>
      </c>
      <c r="S114" t="str">
        <f t="shared" si="5"/>
        <v>Completed</v>
      </c>
      <c r="T114">
        <f t="shared" si="6"/>
        <v>3080</v>
      </c>
      <c r="U114">
        <f t="shared" si="7"/>
        <v>0</v>
      </c>
    </row>
    <row r="115" spans="1:21">
      <c r="A115" t="s">
        <v>152</v>
      </c>
      <c r="B115" s="2">
        <v>46263</v>
      </c>
      <c r="C115" t="s">
        <v>41</v>
      </c>
      <c r="D115" t="s">
        <v>29</v>
      </c>
      <c r="E115">
        <v>51</v>
      </c>
      <c r="F115" s="3">
        <v>4927</v>
      </c>
      <c r="G115" s="4">
        <v>10</v>
      </c>
      <c r="H115">
        <v>2</v>
      </c>
      <c r="I115">
        <v>3</v>
      </c>
      <c r="J115" t="s">
        <v>30</v>
      </c>
      <c r="K115">
        <v>4</v>
      </c>
      <c r="L115" t="s">
        <v>21</v>
      </c>
      <c r="M115" t="s">
        <v>21</v>
      </c>
      <c r="N115" s="5">
        <v>20.8</v>
      </c>
      <c r="O115" t="s">
        <v>22</v>
      </c>
      <c r="P115" t="str">
        <f>IF(I115&gt;H115,"Late","On Time")</f>
        <v>Late</v>
      </c>
      <c r="Q115">
        <f>MAX(0,I115-H115)</f>
        <v>1</v>
      </c>
      <c r="R115" t="str">
        <f t="shared" si="4"/>
        <v>High</v>
      </c>
      <c r="S115" t="str">
        <f t="shared" si="5"/>
        <v>Completed</v>
      </c>
      <c r="T115">
        <f t="shared" si="6"/>
        <v>4434.3</v>
      </c>
      <c r="U115">
        <f t="shared" si="7"/>
        <v>1</v>
      </c>
    </row>
    <row r="116" spans="1:21">
      <c r="A116" t="s">
        <v>153</v>
      </c>
      <c r="B116" s="2">
        <v>46277</v>
      </c>
      <c r="C116" t="s">
        <v>55</v>
      </c>
      <c r="D116" t="s">
        <v>32</v>
      </c>
      <c r="E116">
        <v>45</v>
      </c>
      <c r="F116" s="3">
        <v>1725</v>
      </c>
      <c r="G116" s="4">
        <v>15</v>
      </c>
      <c r="H116">
        <v>1</v>
      </c>
      <c r="I116">
        <v>2</v>
      </c>
      <c r="J116" t="s">
        <v>26</v>
      </c>
      <c r="K116">
        <v>4</v>
      </c>
      <c r="L116" t="s">
        <v>21</v>
      </c>
      <c r="M116" t="s">
        <v>21</v>
      </c>
      <c r="N116" s="5">
        <v>20.8</v>
      </c>
      <c r="O116" t="s">
        <v>59</v>
      </c>
      <c r="P116" t="str">
        <f>IF(I116&gt;H116,"Late","On Time")</f>
        <v>Late</v>
      </c>
      <c r="Q116">
        <f>MAX(0,I116-H116)</f>
        <v>1</v>
      </c>
      <c r="R116" t="str">
        <f t="shared" si="4"/>
        <v>High</v>
      </c>
      <c r="S116" t="str">
        <f t="shared" si="5"/>
        <v>Completed</v>
      </c>
      <c r="T116">
        <f t="shared" si="6"/>
        <v>1466.25</v>
      </c>
      <c r="U116">
        <f t="shared" si="7"/>
        <v>1</v>
      </c>
    </row>
    <row r="117" spans="1:21">
      <c r="A117" t="s">
        <v>154</v>
      </c>
      <c r="B117" s="2">
        <v>46271</v>
      </c>
      <c r="C117" t="s">
        <v>41</v>
      </c>
      <c r="D117" t="s">
        <v>29</v>
      </c>
      <c r="E117">
        <v>50</v>
      </c>
      <c r="F117" s="3">
        <v>3725</v>
      </c>
      <c r="G117" s="4">
        <v>25</v>
      </c>
      <c r="H117">
        <v>3</v>
      </c>
      <c r="I117">
        <v>6</v>
      </c>
      <c r="J117" t="s">
        <v>39</v>
      </c>
      <c r="K117">
        <v>2</v>
      </c>
      <c r="L117" t="s">
        <v>56</v>
      </c>
      <c r="M117" t="s">
        <v>21</v>
      </c>
      <c r="N117" s="5">
        <v>26.7</v>
      </c>
      <c r="O117" t="s">
        <v>27</v>
      </c>
      <c r="P117" t="str">
        <f>IF(I117&gt;H117,"Late","On Time")</f>
        <v>Late</v>
      </c>
      <c r="Q117">
        <f>MAX(0,I117-H117)</f>
        <v>3</v>
      </c>
      <c r="R117" t="str">
        <f t="shared" si="4"/>
        <v>Low</v>
      </c>
      <c r="S117" t="str">
        <f t="shared" si="5"/>
        <v>Cancelled</v>
      </c>
      <c r="T117">
        <f t="shared" si="6"/>
        <v>2793.75</v>
      </c>
      <c r="U117">
        <f t="shared" si="7"/>
        <v>1</v>
      </c>
    </row>
    <row r="118" spans="1:21">
      <c r="A118" t="s">
        <v>155</v>
      </c>
      <c r="B118" s="2">
        <v>46282</v>
      </c>
      <c r="C118" t="s">
        <v>18</v>
      </c>
      <c r="D118" t="s">
        <v>47</v>
      </c>
      <c r="E118">
        <v>27</v>
      </c>
      <c r="F118" s="3">
        <v>1572</v>
      </c>
      <c r="G118" s="4">
        <v>10</v>
      </c>
      <c r="H118">
        <v>3</v>
      </c>
      <c r="I118">
        <v>4</v>
      </c>
      <c r="J118" t="s">
        <v>26</v>
      </c>
      <c r="K118">
        <v>4</v>
      </c>
      <c r="L118" t="s">
        <v>21</v>
      </c>
      <c r="M118" t="s">
        <v>21</v>
      </c>
      <c r="N118" s="5">
        <v>21.7</v>
      </c>
      <c r="O118" t="s">
        <v>59</v>
      </c>
      <c r="P118" t="str">
        <f>IF(I118&gt;H118,"Late","On Time")</f>
        <v>Late</v>
      </c>
      <c r="Q118">
        <f>MAX(0,I118-H118)</f>
        <v>1</v>
      </c>
      <c r="R118" t="str">
        <f t="shared" si="4"/>
        <v>High</v>
      </c>
      <c r="S118" t="str">
        <f t="shared" si="5"/>
        <v>Completed</v>
      </c>
      <c r="T118">
        <f t="shared" si="6"/>
        <v>1414.8</v>
      </c>
      <c r="U118">
        <f t="shared" si="7"/>
        <v>1</v>
      </c>
    </row>
    <row r="119" spans="1:21">
      <c r="A119" t="s">
        <v>156</v>
      </c>
      <c r="B119" s="2">
        <v>46242</v>
      </c>
      <c r="C119" t="s">
        <v>24</v>
      </c>
      <c r="D119" t="s">
        <v>25</v>
      </c>
      <c r="E119">
        <v>51</v>
      </c>
      <c r="F119" s="3">
        <v>250</v>
      </c>
      <c r="G119" s="4">
        <v>15</v>
      </c>
      <c r="H119">
        <v>4</v>
      </c>
      <c r="I119">
        <v>4</v>
      </c>
      <c r="J119" t="s">
        <v>33</v>
      </c>
      <c r="K119">
        <v>4</v>
      </c>
      <c r="L119" t="s">
        <v>21</v>
      </c>
      <c r="M119" t="s">
        <v>21</v>
      </c>
      <c r="N119" s="5">
        <v>4.5999999999999996</v>
      </c>
      <c r="O119" t="s">
        <v>59</v>
      </c>
      <c r="P119" t="str">
        <f>IF(I119&gt;H119,"Late","On Time")</f>
        <v>On Time</v>
      </c>
      <c r="Q119">
        <f>MAX(0,I119-H119)</f>
        <v>0</v>
      </c>
      <c r="R119" t="str">
        <f t="shared" si="4"/>
        <v>High</v>
      </c>
      <c r="S119" t="str">
        <f t="shared" si="5"/>
        <v>Completed</v>
      </c>
      <c r="T119">
        <f t="shared" si="6"/>
        <v>212.5</v>
      </c>
      <c r="U119">
        <f t="shared" si="7"/>
        <v>0</v>
      </c>
    </row>
    <row r="120" spans="1:21">
      <c r="A120" t="s">
        <v>157</v>
      </c>
      <c r="B120" s="2">
        <v>46245</v>
      </c>
      <c r="C120" t="s">
        <v>24</v>
      </c>
      <c r="D120" t="s">
        <v>38</v>
      </c>
      <c r="E120">
        <v>22</v>
      </c>
      <c r="F120" s="3">
        <v>250</v>
      </c>
      <c r="G120" s="4">
        <v>15</v>
      </c>
      <c r="H120">
        <v>2</v>
      </c>
      <c r="I120">
        <v>2</v>
      </c>
      <c r="J120" t="s">
        <v>30</v>
      </c>
      <c r="K120">
        <v>5</v>
      </c>
      <c r="L120" t="s">
        <v>21</v>
      </c>
      <c r="M120" t="s">
        <v>21</v>
      </c>
      <c r="N120" s="5">
        <v>23</v>
      </c>
      <c r="O120" t="s">
        <v>27</v>
      </c>
      <c r="P120" t="str">
        <f>IF(I120&gt;H120,"Late","On Time")</f>
        <v>On Time</v>
      </c>
      <c r="Q120">
        <f>MAX(0,I120-H120)</f>
        <v>0</v>
      </c>
      <c r="R120" t="str">
        <f t="shared" si="4"/>
        <v>High</v>
      </c>
      <c r="S120" t="str">
        <f t="shared" si="5"/>
        <v>Completed</v>
      </c>
      <c r="T120">
        <f t="shared" si="6"/>
        <v>212.5</v>
      </c>
      <c r="U120">
        <f t="shared" si="7"/>
        <v>0</v>
      </c>
    </row>
    <row r="121" spans="1:21">
      <c r="A121" t="s">
        <v>158</v>
      </c>
      <c r="B121" s="2">
        <v>46270</v>
      </c>
      <c r="C121" t="s">
        <v>24</v>
      </c>
      <c r="D121" t="s">
        <v>38</v>
      </c>
      <c r="E121">
        <v>41</v>
      </c>
      <c r="F121" s="3">
        <v>2371</v>
      </c>
      <c r="G121" s="4">
        <v>20</v>
      </c>
      <c r="H121">
        <v>3</v>
      </c>
      <c r="I121">
        <v>4</v>
      </c>
      <c r="J121" t="s">
        <v>39</v>
      </c>
      <c r="K121">
        <v>3</v>
      </c>
      <c r="L121" t="s">
        <v>21</v>
      </c>
      <c r="M121" t="s">
        <v>21</v>
      </c>
      <c r="N121" s="5">
        <v>4.7</v>
      </c>
      <c r="O121" t="s">
        <v>22</v>
      </c>
      <c r="P121" t="str">
        <f>IF(I121&gt;H121,"Late","On Time")</f>
        <v>Late</v>
      </c>
      <c r="Q121">
        <f>MAX(0,I121-H121)</f>
        <v>1</v>
      </c>
      <c r="R121" t="str">
        <f t="shared" si="4"/>
        <v>Medium</v>
      </c>
      <c r="S121" t="str">
        <f t="shared" si="5"/>
        <v>Completed</v>
      </c>
      <c r="T121">
        <f t="shared" si="6"/>
        <v>1896.8000000000002</v>
      </c>
      <c r="U121">
        <f t="shared" si="7"/>
        <v>1</v>
      </c>
    </row>
    <row r="122" spans="1:21">
      <c r="A122" t="s">
        <v>159</v>
      </c>
      <c r="B122" s="2">
        <v>46257</v>
      </c>
      <c r="C122" t="s">
        <v>24</v>
      </c>
      <c r="D122" t="s">
        <v>47</v>
      </c>
      <c r="E122">
        <v>23</v>
      </c>
      <c r="F122" s="3">
        <v>2630</v>
      </c>
      <c r="G122" s="4">
        <v>25</v>
      </c>
      <c r="H122">
        <v>3</v>
      </c>
      <c r="I122">
        <v>4</v>
      </c>
      <c r="J122" t="s">
        <v>20</v>
      </c>
      <c r="K122">
        <v>3</v>
      </c>
      <c r="L122" t="s">
        <v>21</v>
      </c>
      <c r="M122" t="s">
        <v>21</v>
      </c>
      <c r="N122" s="5">
        <v>15.4</v>
      </c>
      <c r="O122" t="s">
        <v>27</v>
      </c>
      <c r="P122" t="str">
        <f>IF(I122&gt;H122,"Late","On Time")</f>
        <v>Late</v>
      </c>
      <c r="Q122">
        <f>MAX(0,I122-H122)</f>
        <v>1</v>
      </c>
      <c r="R122" t="str">
        <f t="shared" si="4"/>
        <v>Medium</v>
      </c>
      <c r="S122" t="str">
        <f t="shared" si="5"/>
        <v>Completed</v>
      </c>
      <c r="T122">
        <f t="shared" si="6"/>
        <v>1972.5</v>
      </c>
      <c r="U122">
        <f t="shared" si="7"/>
        <v>1</v>
      </c>
    </row>
    <row r="123" spans="1:21">
      <c r="A123" t="s">
        <v>160</v>
      </c>
      <c r="B123" s="2">
        <v>46245</v>
      </c>
      <c r="C123" t="s">
        <v>24</v>
      </c>
      <c r="D123" t="s">
        <v>38</v>
      </c>
      <c r="E123">
        <v>53</v>
      </c>
      <c r="F123" s="3">
        <v>2164</v>
      </c>
      <c r="G123" s="4">
        <v>25</v>
      </c>
      <c r="H123">
        <v>4</v>
      </c>
      <c r="I123">
        <v>4</v>
      </c>
      <c r="J123" t="s">
        <v>30</v>
      </c>
      <c r="K123">
        <v>5</v>
      </c>
      <c r="L123" t="s">
        <v>21</v>
      </c>
      <c r="M123" t="s">
        <v>21</v>
      </c>
      <c r="N123" s="5">
        <v>6.3</v>
      </c>
      <c r="O123" t="s">
        <v>22</v>
      </c>
      <c r="P123" t="str">
        <f>IF(I123&gt;H123,"Late","On Time")</f>
        <v>On Time</v>
      </c>
      <c r="Q123">
        <f>MAX(0,I123-H123)</f>
        <v>0</v>
      </c>
      <c r="R123" t="str">
        <f t="shared" si="4"/>
        <v>High</v>
      </c>
      <c r="S123" t="str">
        <f t="shared" si="5"/>
        <v>Completed</v>
      </c>
      <c r="T123">
        <f t="shared" si="6"/>
        <v>1623</v>
      </c>
      <c r="U123">
        <f t="shared" si="7"/>
        <v>0</v>
      </c>
    </row>
    <row r="124" spans="1:21">
      <c r="A124" t="s">
        <v>161</v>
      </c>
      <c r="B124" s="2">
        <v>46272</v>
      </c>
      <c r="C124" t="s">
        <v>24</v>
      </c>
      <c r="D124" t="s">
        <v>29</v>
      </c>
      <c r="E124">
        <v>32</v>
      </c>
      <c r="F124" s="3">
        <v>585</v>
      </c>
      <c r="G124" s="4">
        <v>10</v>
      </c>
      <c r="H124">
        <v>2</v>
      </c>
      <c r="I124">
        <v>3</v>
      </c>
      <c r="J124" t="s">
        <v>33</v>
      </c>
      <c r="K124">
        <v>4</v>
      </c>
      <c r="L124" t="s">
        <v>21</v>
      </c>
      <c r="M124" t="s">
        <v>21</v>
      </c>
      <c r="N124" s="5">
        <v>8.1</v>
      </c>
      <c r="O124" t="s">
        <v>27</v>
      </c>
      <c r="P124" t="str">
        <f>IF(I124&gt;H124,"Late","On Time")</f>
        <v>Late</v>
      </c>
      <c r="Q124">
        <f>MAX(0,I124-H124)</f>
        <v>1</v>
      </c>
      <c r="R124" t="str">
        <f t="shared" si="4"/>
        <v>High</v>
      </c>
      <c r="S124" t="str">
        <f t="shared" si="5"/>
        <v>Completed</v>
      </c>
      <c r="T124">
        <f t="shared" si="6"/>
        <v>526.5</v>
      </c>
      <c r="U124">
        <f t="shared" si="7"/>
        <v>1</v>
      </c>
    </row>
    <row r="125" spans="1:21">
      <c r="A125" t="s">
        <v>162</v>
      </c>
      <c r="B125" s="2">
        <v>46251</v>
      </c>
      <c r="C125" t="s">
        <v>55</v>
      </c>
      <c r="D125" t="s">
        <v>36</v>
      </c>
      <c r="E125">
        <v>28</v>
      </c>
      <c r="F125" s="3">
        <v>2575</v>
      </c>
      <c r="G125" s="4">
        <v>25</v>
      </c>
      <c r="H125">
        <v>3</v>
      </c>
      <c r="I125">
        <v>4</v>
      </c>
      <c r="J125" t="s">
        <v>20</v>
      </c>
      <c r="K125">
        <v>3</v>
      </c>
      <c r="L125" t="s">
        <v>21</v>
      </c>
      <c r="M125" t="s">
        <v>21</v>
      </c>
      <c r="N125" s="5">
        <v>20.6</v>
      </c>
      <c r="O125" t="s">
        <v>59</v>
      </c>
      <c r="P125" t="str">
        <f>IF(I125&gt;H125,"Late","On Time")</f>
        <v>Late</v>
      </c>
      <c r="Q125">
        <f>MAX(0,I125-H125)</f>
        <v>1</v>
      </c>
      <c r="R125" t="str">
        <f t="shared" si="4"/>
        <v>Medium</v>
      </c>
      <c r="S125" t="str">
        <f t="shared" si="5"/>
        <v>Completed</v>
      </c>
      <c r="T125">
        <f t="shared" si="6"/>
        <v>1931.25</v>
      </c>
      <c r="U125">
        <f t="shared" si="7"/>
        <v>1</v>
      </c>
    </row>
    <row r="126" spans="1:21">
      <c r="A126" t="s">
        <v>163</v>
      </c>
      <c r="B126" s="2">
        <v>46245</v>
      </c>
      <c r="C126" t="s">
        <v>24</v>
      </c>
      <c r="D126" t="s">
        <v>38</v>
      </c>
      <c r="E126">
        <v>54</v>
      </c>
      <c r="F126" s="3">
        <v>687</v>
      </c>
      <c r="G126" s="4">
        <v>15</v>
      </c>
      <c r="H126">
        <v>4</v>
      </c>
      <c r="I126">
        <v>4</v>
      </c>
      <c r="J126" t="s">
        <v>26</v>
      </c>
      <c r="K126">
        <v>4</v>
      </c>
      <c r="L126" t="s">
        <v>21</v>
      </c>
      <c r="M126" t="s">
        <v>21</v>
      </c>
      <c r="N126" s="5">
        <v>9.1999999999999993</v>
      </c>
      <c r="O126" t="s">
        <v>27</v>
      </c>
      <c r="P126" t="str">
        <f>IF(I126&gt;H126,"Late","On Time")</f>
        <v>On Time</v>
      </c>
      <c r="Q126">
        <f>MAX(0,I126-H126)</f>
        <v>0</v>
      </c>
      <c r="R126" t="str">
        <f t="shared" si="4"/>
        <v>High</v>
      </c>
      <c r="S126" t="str">
        <f t="shared" si="5"/>
        <v>Completed</v>
      </c>
      <c r="T126">
        <f t="shared" si="6"/>
        <v>583.94999999999993</v>
      </c>
      <c r="U126">
        <f t="shared" si="7"/>
        <v>0</v>
      </c>
    </row>
    <row r="127" spans="1:21">
      <c r="A127" t="s">
        <v>164</v>
      </c>
      <c r="B127" s="2">
        <v>46267</v>
      </c>
      <c r="C127" t="s">
        <v>41</v>
      </c>
      <c r="D127" t="s">
        <v>25</v>
      </c>
      <c r="E127">
        <v>48</v>
      </c>
      <c r="F127" s="3">
        <v>3457</v>
      </c>
      <c r="G127" s="4">
        <v>15</v>
      </c>
      <c r="H127">
        <v>3</v>
      </c>
      <c r="I127">
        <v>5</v>
      </c>
      <c r="J127" t="s">
        <v>30</v>
      </c>
      <c r="K127">
        <v>3</v>
      </c>
      <c r="L127" t="s">
        <v>21</v>
      </c>
      <c r="M127" t="s">
        <v>21</v>
      </c>
      <c r="N127" s="5">
        <v>10.5</v>
      </c>
      <c r="O127" t="s">
        <v>27</v>
      </c>
      <c r="P127" t="str">
        <f>IF(I127&gt;H127,"Late","On Time")</f>
        <v>Late</v>
      </c>
      <c r="Q127">
        <f>MAX(0,I127-H127)</f>
        <v>2</v>
      </c>
      <c r="R127" t="str">
        <f t="shared" si="4"/>
        <v>Medium</v>
      </c>
      <c r="S127" t="str">
        <f t="shared" si="5"/>
        <v>Completed</v>
      </c>
      <c r="T127">
        <f t="shared" si="6"/>
        <v>2938.45</v>
      </c>
      <c r="U127">
        <f t="shared" si="7"/>
        <v>1</v>
      </c>
    </row>
    <row r="128" spans="1:21">
      <c r="A128" t="s">
        <v>165</v>
      </c>
      <c r="B128" s="2">
        <v>46271</v>
      </c>
      <c r="C128" t="s">
        <v>55</v>
      </c>
      <c r="D128" t="s">
        <v>19</v>
      </c>
      <c r="E128">
        <v>38</v>
      </c>
      <c r="F128" s="3">
        <v>1415</v>
      </c>
      <c r="G128" s="4">
        <v>15</v>
      </c>
      <c r="H128">
        <v>2</v>
      </c>
      <c r="I128">
        <v>5</v>
      </c>
      <c r="J128" t="s">
        <v>30</v>
      </c>
      <c r="K128">
        <v>3</v>
      </c>
      <c r="L128" t="s">
        <v>21</v>
      </c>
      <c r="M128" t="s">
        <v>21</v>
      </c>
      <c r="N128" s="5">
        <v>5.2</v>
      </c>
      <c r="O128" t="s">
        <v>59</v>
      </c>
      <c r="P128" t="str">
        <f>IF(I128&gt;H128,"Late","On Time")</f>
        <v>Late</v>
      </c>
      <c r="Q128">
        <f>MAX(0,I128-H128)</f>
        <v>3</v>
      </c>
      <c r="R128" t="str">
        <f t="shared" si="4"/>
        <v>Medium</v>
      </c>
      <c r="S128" t="str">
        <f t="shared" si="5"/>
        <v>Completed</v>
      </c>
      <c r="T128">
        <f t="shared" si="6"/>
        <v>1202.75</v>
      </c>
      <c r="U128">
        <f t="shared" si="7"/>
        <v>1</v>
      </c>
    </row>
    <row r="129" spans="1:21">
      <c r="A129" t="s">
        <v>166</v>
      </c>
      <c r="B129" s="2">
        <v>46272</v>
      </c>
      <c r="C129" t="s">
        <v>35</v>
      </c>
      <c r="D129" t="s">
        <v>36</v>
      </c>
      <c r="E129">
        <v>28</v>
      </c>
      <c r="F129" s="3">
        <v>1078</v>
      </c>
      <c r="G129" s="4">
        <v>15</v>
      </c>
      <c r="H129">
        <v>3</v>
      </c>
      <c r="I129">
        <v>3</v>
      </c>
      <c r="J129" t="s">
        <v>33</v>
      </c>
      <c r="K129">
        <v>4</v>
      </c>
      <c r="L129" t="s">
        <v>21</v>
      </c>
      <c r="M129" t="s">
        <v>21</v>
      </c>
      <c r="N129" s="5">
        <v>13.9</v>
      </c>
      <c r="O129" t="s">
        <v>59</v>
      </c>
      <c r="P129" t="str">
        <f>IF(I129&gt;H129,"Late","On Time")</f>
        <v>On Time</v>
      </c>
      <c r="Q129">
        <f>MAX(0,I129-H129)</f>
        <v>0</v>
      </c>
      <c r="R129" t="str">
        <f t="shared" si="4"/>
        <v>High</v>
      </c>
      <c r="S129" t="str">
        <f t="shared" si="5"/>
        <v>Completed</v>
      </c>
      <c r="T129">
        <f t="shared" si="6"/>
        <v>916.3</v>
      </c>
      <c r="U129">
        <f t="shared" si="7"/>
        <v>0</v>
      </c>
    </row>
    <row r="130" spans="1:21">
      <c r="A130" t="s">
        <v>167</v>
      </c>
      <c r="B130" s="2">
        <v>46237</v>
      </c>
      <c r="C130" t="s">
        <v>35</v>
      </c>
      <c r="D130" t="s">
        <v>19</v>
      </c>
      <c r="E130">
        <v>21</v>
      </c>
      <c r="F130" s="3">
        <v>807</v>
      </c>
      <c r="G130" s="4">
        <v>25</v>
      </c>
      <c r="H130">
        <v>2</v>
      </c>
      <c r="I130">
        <v>3</v>
      </c>
      <c r="J130" t="s">
        <v>30</v>
      </c>
      <c r="K130">
        <v>4</v>
      </c>
      <c r="L130" t="s">
        <v>21</v>
      </c>
      <c r="M130" t="s">
        <v>21</v>
      </c>
      <c r="N130" s="5">
        <v>9.1</v>
      </c>
      <c r="O130" t="s">
        <v>22</v>
      </c>
      <c r="P130" t="str">
        <f>IF(I130&gt;H130,"Late","On Time")</f>
        <v>Late</v>
      </c>
      <c r="Q130">
        <f>MAX(0,I130-H130)</f>
        <v>1</v>
      </c>
      <c r="R130" t="str">
        <f t="shared" ref="R130:R193" si="8">IF(K130&gt;=4,"High",IF(K130=3,"Medium","Low"))</f>
        <v>High</v>
      </c>
      <c r="S130" t="str">
        <f t="shared" ref="S130:S193" si="9">IF(L130="Yes","Cancelled",IF(M130="Yes","Returned","Completed"))</f>
        <v>Completed</v>
      </c>
      <c r="T130">
        <f t="shared" ref="T130:T193" si="10">F130*(1-G130/100)</f>
        <v>605.25</v>
      </c>
      <c r="U130">
        <f t="shared" ref="U130:U193" si="11">IF(P130="Late",1,0)</f>
        <v>1</v>
      </c>
    </row>
    <row r="131" spans="1:21">
      <c r="A131" t="s">
        <v>168</v>
      </c>
      <c r="B131" s="2">
        <v>46242</v>
      </c>
      <c r="C131" t="s">
        <v>41</v>
      </c>
      <c r="D131" t="s">
        <v>19</v>
      </c>
      <c r="E131">
        <v>54</v>
      </c>
      <c r="F131" s="3">
        <v>4187</v>
      </c>
      <c r="G131" s="4">
        <v>20</v>
      </c>
      <c r="H131">
        <v>3</v>
      </c>
      <c r="I131">
        <v>3</v>
      </c>
      <c r="J131" t="s">
        <v>20</v>
      </c>
      <c r="K131">
        <v>5</v>
      </c>
      <c r="L131" t="s">
        <v>21</v>
      </c>
      <c r="M131" t="s">
        <v>21</v>
      </c>
      <c r="N131" s="5">
        <v>11.1</v>
      </c>
      <c r="O131" t="s">
        <v>59</v>
      </c>
      <c r="P131" t="str">
        <f>IF(I131&gt;H131,"Late","On Time")</f>
        <v>On Time</v>
      </c>
      <c r="Q131">
        <f>MAX(0,I131-H131)</f>
        <v>0</v>
      </c>
      <c r="R131" t="str">
        <f t="shared" si="8"/>
        <v>High</v>
      </c>
      <c r="S131" t="str">
        <f t="shared" si="9"/>
        <v>Completed</v>
      </c>
      <c r="T131">
        <f t="shared" si="10"/>
        <v>3349.6000000000004</v>
      </c>
      <c r="U131">
        <f t="shared" si="11"/>
        <v>0</v>
      </c>
    </row>
    <row r="132" spans="1:21">
      <c r="A132" t="s">
        <v>169</v>
      </c>
      <c r="B132" s="2">
        <v>46268</v>
      </c>
      <c r="C132" t="s">
        <v>24</v>
      </c>
      <c r="D132" t="s">
        <v>19</v>
      </c>
      <c r="E132">
        <v>43</v>
      </c>
      <c r="F132" s="3">
        <v>250</v>
      </c>
      <c r="G132" s="4">
        <v>20</v>
      </c>
      <c r="H132">
        <v>3</v>
      </c>
      <c r="I132">
        <v>4</v>
      </c>
      <c r="J132" t="s">
        <v>39</v>
      </c>
      <c r="K132">
        <v>4</v>
      </c>
      <c r="L132" t="s">
        <v>21</v>
      </c>
      <c r="M132" t="s">
        <v>56</v>
      </c>
      <c r="N132" s="5">
        <v>21.5</v>
      </c>
      <c r="O132" t="s">
        <v>22</v>
      </c>
      <c r="P132" t="str">
        <f>IF(I132&gt;H132,"Late","On Time")</f>
        <v>Late</v>
      </c>
      <c r="Q132">
        <f>MAX(0,I132-H132)</f>
        <v>1</v>
      </c>
      <c r="R132" t="str">
        <f t="shared" si="8"/>
        <v>High</v>
      </c>
      <c r="S132" t="str">
        <f t="shared" si="9"/>
        <v>Returned</v>
      </c>
      <c r="T132">
        <f t="shared" si="10"/>
        <v>200</v>
      </c>
      <c r="U132">
        <f t="shared" si="11"/>
        <v>1</v>
      </c>
    </row>
    <row r="133" spans="1:21">
      <c r="A133" t="s">
        <v>170</v>
      </c>
      <c r="B133" s="2">
        <v>46269</v>
      </c>
      <c r="C133" t="s">
        <v>41</v>
      </c>
      <c r="D133" t="s">
        <v>36</v>
      </c>
      <c r="E133">
        <v>50</v>
      </c>
      <c r="F133" s="3">
        <v>5124</v>
      </c>
      <c r="G133" s="4">
        <v>5</v>
      </c>
      <c r="H133">
        <v>3</v>
      </c>
      <c r="I133">
        <v>3</v>
      </c>
      <c r="J133" t="s">
        <v>20</v>
      </c>
      <c r="K133">
        <v>5</v>
      </c>
      <c r="L133" t="s">
        <v>21</v>
      </c>
      <c r="M133" t="s">
        <v>21</v>
      </c>
      <c r="N133" s="5">
        <v>26.2</v>
      </c>
      <c r="O133" t="s">
        <v>27</v>
      </c>
      <c r="P133" t="str">
        <f>IF(I133&gt;H133,"Late","On Time")</f>
        <v>On Time</v>
      </c>
      <c r="Q133">
        <f>MAX(0,I133-H133)</f>
        <v>0</v>
      </c>
      <c r="R133" t="str">
        <f t="shared" si="8"/>
        <v>High</v>
      </c>
      <c r="S133" t="str">
        <f t="shared" si="9"/>
        <v>Completed</v>
      </c>
      <c r="T133">
        <f t="shared" si="10"/>
        <v>4867.8</v>
      </c>
      <c r="U133">
        <f t="shared" si="11"/>
        <v>0</v>
      </c>
    </row>
    <row r="134" spans="1:21">
      <c r="A134" t="s">
        <v>171</v>
      </c>
      <c r="B134" s="2">
        <v>46265</v>
      </c>
      <c r="C134" t="s">
        <v>41</v>
      </c>
      <c r="D134" t="s">
        <v>32</v>
      </c>
      <c r="E134">
        <v>54</v>
      </c>
      <c r="F134" s="3">
        <v>1920</v>
      </c>
      <c r="G134" s="4">
        <v>10</v>
      </c>
      <c r="H134">
        <v>3</v>
      </c>
      <c r="I134">
        <v>4</v>
      </c>
      <c r="J134" t="s">
        <v>20</v>
      </c>
      <c r="K134">
        <v>4</v>
      </c>
      <c r="L134" t="s">
        <v>21</v>
      </c>
      <c r="M134" t="s">
        <v>21</v>
      </c>
      <c r="N134" s="5">
        <v>19.399999999999999</v>
      </c>
      <c r="O134" t="s">
        <v>22</v>
      </c>
      <c r="P134" t="str">
        <f>IF(I134&gt;H134,"Late","On Time")</f>
        <v>Late</v>
      </c>
      <c r="Q134">
        <f>MAX(0,I134-H134)</f>
        <v>1</v>
      </c>
      <c r="R134" t="str">
        <f t="shared" si="8"/>
        <v>High</v>
      </c>
      <c r="S134" t="str">
        <f t="shared" si="9"/>
        <v>Completed</v>
      </c>
      <c r="T134">
        <f t="shared" si="10"/>
        <v>1728</v>
      </c>
      <c r="U134">
        <f t="shared" si="11"/>
        <v>1</v>
      </c>
    </row>
    <row r="135" spans="1:21">
      <c r="A135" t="s">
        <v>172</v>
      </c>
      <c r="B135" s="2">
        <v>46237</v>
      </c>
      <c r="C135" t="s">
        <v>35</v>
      </c>
      <c r="D135" t="s">
        <v>32</v>
      </c>
      <c r="E135">
        <v>55</v>
      </c>
      <c r="F135" s="3">
        <v>1512</v>
      </c>
      <c r="G135" s="4">
        <v>20</v>
      </c>
      <c r="H135">
        <v>2</v>
      </c>
      <c r="I135">
        <v>2</v>
      </c>
      <c r="J135" t="s">
        <v>33</v>
      </c>
      <c r="K135">
        <v>5</v>
      </c>
      <c r="L135" t="s">
        <v>21</v>
      </c>
      <c r="M135" t="s">
        <v>21</v>
      </c>
      <c r="N135" s="5">
        <v>20.6</v>
      </c>
      <c r="O135" t="s">
        <v>27</v>
      </c>
      <c r="P135" t="str">
        <f>IF(I135&gt;H135,"Late","On Time")</f>
        <v>On Time</v>
      </c>
      <c r="Q135">
        <f>MAX(0,I135-H135)</f>
        <v>0</v>
      </c>
      <c r="R135" t="str">
        <f t="shared" si="8"/>
        <v>High</v>
      </c>
      <c r="S135" t="str">
        <f t="shared" si="9"/>
        <v>Completed</v>
      </c>
      <c r="T135">
        <f t="shared" si="10"/>
        <v>1209.6000000000001</v>
      </c>
      <c r="U135">
        <f t="shared" si="11"/>
        <v>0</v>
      </c>
    </row>
    <row r="136" spans="1:21">
      <c r="A136" t="s">
        <v>173</v>
      </c>
      <c r="B136" s="2">
        <v>46280</v>
      </c>
      <c r="C136" t="s">
        <v>55</v>
      </c>
      <c r="D136" t="s">
        <v>32</v>
      </c>
      <c r="E136">
        <v>25</v>
      </c>
      <c r="F136" s="3">
        <v>1635</v>
      </c>
      <c r="G136" s="4">
        <v>15</v>
      </c>
      <c r="H136">
        <v>2</v>
      </c>
      <c r="I136">
        <v>3</v>
      </c>
      <c r="J136" t="s">
        <v>26</v>
      </c>
      <c r="K136">
        <v>4</v>
      </c>
      <c r="L136" t="s">
        <v>21</v>
      </c>
      <c r="M136" t="s">
        <v>21</v>
      </c>
      <c r="N136" s="5">
        <v>12.4</v>
      </c>
      <c r="O136" t="s">
        <v>22</v>
      </c>
      <c r="P136" t="str">
        <f>IF(I136&gt;H136,"Late","On Time")</f>
        <v>Late</v>
      </c>
      <c r="Q136">
        <f>MAX(0,I136-H136)</f>
        <v>1</v>
      </c>
      <c r="R136" t="str">
        <f t="shared" si="8"/>
        <v>High</v>
      </c>
      <c r="S136" t="str">
        <f t="shared" si="9"/>
        <v>Completed</v>
      </c>
      <c r="T136">
        <f t="shared" si="10"/>
        <v>1389.75</v>
      </c>
      <c r="U136">
        <f t="shared" si="11"/>
        <v>1</v>
      </c>
    </row>
    <row r="137" spans="1:21">
      <c r="A137" t="s">
        <v>174</v>
      </c>
      <c r="B137" s="2">
        <v>46278</v>
      </c>
      <c r="C137" t="s">
        <v>24</v>
      </c>
      <c r="D137" t="s">
        <v>47</v>
      </c>
      <c r="E137">
        <v>31</v>
      </c>
      <c r="F137" s="3">
        <v>2704</v>
      </c>
      <c r="G137" s="4">
        <v>20</v>
      </c>
      <c r="H137">
        <v>3</v>
      </c>
      <c r="I137">
        <v>3</v>
      </c>
      <c r="J137" t="s">
        <v>30</v>
      </c>
      <c r="K137">
        <v>4</v>
      </c>
      <c r="L137" t="s">
        <v>21</v>
      </c>
      <c r="M137" t="s">
        <v>21</v>
      </c>
      <c r="N137" s="5">
        <v>28</v>
      </c>
      <c r="O137" t="s">
        <v>27</v>
      </c>
      <c r="P137" t="str">
        <f>IF(I137&gt;H137,"Late","On Time")</f>
        <v>On Time</v>
      </c>
      <c r="Q137">
        <f>MAX(0,I137-H137)</f>
        <v>0</v>
      </c>
      <c r="R137" t="str">
        <f t="shared" si="8"/>
        <v>High</v>
      </c>
      <c r="S137" t="str">
        <f t="shared" si="9"/>
        <v>Completed</v>
      </c>
      <c r="T137">
        <f t="shared" si="10"/>
        <v>2163.2000000000003</v>
      </c>
      <c r="U137">
        <f t="shared" si="11"/>
        <v>0</v>
      </c>
    </row>
    <row r="138" spans="1:21">
      <c r="A138" t="s">
        <v>175</v>
      </c>
      <c r="B138" s="2">
        <v>46257</v>
      </c>
      <c r="C138" t="s">
        <v>35</v>
      </c>
      <c r="D138" t="s">
        <v>47</v>
      </c>
      <c r="E138">
        <v>48</v>
      </c>
      <c r="F138" s="3">
        <v>993</v>
      </c>
      <c r="G138" s="4">
        <v>20</v>
      </c>
      <c r="H138">
        <v>2</v>
      </c>
      <c r="I138">
        <v>2</v>
      </c>
      <c r="J138" t="s">
        <v>39</v>
      </c>
      <c r="K138">
        <v>5</v>
      </c>
      <c r="L138" t="s">
        <v>21</v>
      </c>
      <c r="M138" t="s">
        <v>21</v>
      </c>
      <c r="N138" s="5">
        <v>7.5</v>
      </c>
      <c r="O138" t="s">
        <v>27</v>
      </c>
      <c r="P138" t="str">
        <f>IF(I138&gt;H138,"Late","On Time")</f>
        <v>On Time</v>
      </c>
      <c r="Q138">
        <f>MAX(0,I138-H138)</f>
        <v>0</v>
      </c>
      <c r="R138" t="str">
        <f t="shared" si="8"/>
        <v>High</v>
      </c>
      <c r="S138" t="str">
        <f t="shared" si="9"/>
        <v>Completed</v>
      </c>
      <c r="T138">
        <f t="shared" si="10"/>
        <v>794.40000000000009</v>
      </c>
      <c r="U138">
        <f t="shared" si="11"/>
        <v>0</v>
      </c>
    </row>
    <row r="139" spans="1:21">
      <c r="A139" t="s">
        <v>176</v>
      </c>
      <c r="B139" s="2">
        <v>46280</v>
      </c>
      <c r="C139" t="s">
        <v>55</v>
      </c>
      <c r="D139" t="s">
        <v>38</v>
      </c>
      <c r="E139">
        <v>35</v>
      </c>
      <c r="F139" s="3">
        <v>1822</v>
      </c>
      <c r="G139" s="4">
        <v>10</v>
      </c>
      <c r="H139">
        <v>1</v>
      </c>
      <c r="I139">
        <v>1</v>
      </c>
      <c r="J139" t="s">
        <v>30</v>
      </c>
      <c r="K139">
        <v>5</v>
      </c>
      <c r="L139" t="s">
        <v>21</v>
      </c>
      <c r="M139" t="s">
        <v>21</v>
      </c>
      <c r="N139" s="5">
        <v>16.7</v>
      </c>
      <c r="O139" t="s">
        <v>27</v>
      </c>
      <c r="P139" t="str">
        <f>IF(I139&gt;H139,"Late","On Time")</f>
        <v>On Time</v>
      </c>
      <c r="Q139">
        <f>MAX(0,I139-H139)</f>
        <v>0</v>
      </c>
      <c r="R139" t="str">
        <f t="shared" si="8"/>
        <v>High</v>
      </c>
      <c r="S139" t="str">
        <f t="shared" si="9"/>
        <v>Completed</v>
      </c>
      <c r="T139">
        <f t="shared" si="10"/>
        <v>1639.8</v>
      </c>
      <c r="U139">
        <f t="shared" si="11"/>
        <v>0</v>
      </c>
    </row>
    <row r="140" spans="1:21">
      <c r="A140" t="s">
        <v>177</v>
      </c>
      <c r="B140" s="2">
        <v>46249</v>
      </c>
      <c r="C140" t="s">
        <v>18</v>
      </c>
      <c r="D140" t="s">
        <v>29</v>
      </c>
      <c r="E140">
        <v>46</v>
      </c>
      <c r="F140" s="3">
        <v>1890</v>
      </c>
      <c r="G140" s="4">
        <v>5</v>
      </c>
      <c r="H140">
        <v>3</v>
      </c>
      <c r="I140">
        <v>5</v>
      </c>
      <c r="J140" t="s">
        <v>20</v>
      </c>
      <c r="K140">
        <v>3</v>
      </c>
      <c r="L140" t="s">
        <v>21</v>
      </c>
      <c r="M140" t="s">
        <v>21</v>
      </c>
      <c r="N140" s="5">
        <v>23.4</v>
      </c>
      <c r="O140" t="s">
        <v>27</v>
      </c>
      <c r="P140" t="str">
        <f>IF(I140&gt;H140,"Late","On Time")</f>
        <v>Late</v>
      </c>
      <c r="Q140">
        <f>MAX(0,I140-H140)</f>
        <v>2</v>
      </c>
      <c r="R140" t="str">
        <f t="shared" si="8"/>
        <v>Medium</v>
      </c>
      <c r="S140" t="str">
        <f t="shared" si="9"/>
        <v>Completed</v>
      </c>
      <c r="T140">
        <f t="shared" si="10"/>
        <v>1795.5</v>
      </c>
      <c r="U140">
        <f t="shared" si="11"/>
        <v>1</v>
      </c>
    </row>
    <row r="141" spans="1:21">
      <c r="A141" t="s">
        <v>178</v>
      </c>
      <c r="B141" s="2">
        <v>46265</v>
      </c>
      <c r="C141" t="s">
        <v>24</v>
      </c>
      <c r="D141" t="s">
        <v>19</v>
      </c>
      <c r="E141">
        <v>24</v>
      </c>
      <c r="F141" s="3">
        <v>560</v>
      </c>
      <c r="G141" s="4">
        <v>15</v>
      </c>
      <c r="H141">
        <v>3</v>
      </c>
      <c r="I141">
        <v>4</v>
      </c>
      <c r="J141" t="s">
        <v>39</v>
      </c>
      <c r="K141">
        <v>3</v>
      </c>
      <c r="L141" t="s">
        <v>21</v>
      </c>
      <c r="M141" t="s">
        <v>21</v>
      </c>
      <c r="N141" s="5">
        <v>20.5</v>
      </c>
      <c r="O141" t="s">
        <v>27</v>
      </c>
      <c r="P141" t="str">
        <f>IF(I141&gt;H141,"Late","On Time")</f>
        <v>Late</v>
      </c>
      <c r="Q141">
        <f>MAX(0,I141-H141)</f>
        <v>1</v>
      </c>
      <c r="R141" t="str">
        <f t="shared" si="8"/>
        <v>Medium</v>
      </c>
      <c r="S141" t="str">
        <f t="shared" si="9"/>
        <v>Completed</v>
      </c>
      <c r="T141">
        <f t="shared" si="10"/>
        <v>476</v>
      </c>
      <c r="U141">
        <f t="shared" si="11"/>
        <v>1</v>
      </c>
    </row>
    <row r="142" spans="1:21">
      <c r="A142" t="s">
        <v>179</v>
      </c>
      <c r="B142" s="2">
        <v>46260</v>
      </c>
      <c r="C142" t="s">
        <v>24</v>
      </c>
      <c r="D142" t="s">
        <v>38</v>
      </c>
      <c r="E142">
        <v>36</v>
      </c>
      <c r="F142" s="3">
        <v>1239</v>
      </c>
      <c r="G142" s="4">
        <v>0</v>
      </c>
      <c r="H142">
        <v>4</v>
      </c>
      <c r="I142">
        <v>3</v>
      </c>
      <c r="J142" t="s">
        <v>26</v>
      </c>
      <c r="K142">
        <v>5</v>
      </c>
      <c r="L142" t="s">
        <v>21</v>
      </c>
      <c r="M142" t="s">
        <v>21</v>
      </c>
      <c r="N142" s="5">
        <v>7.7</v>
      </c>
      <c r="O142" t="s">
        <v>27</v>
      </c>
      <c r="P142" t="str">
        <f>IF(I142&gt;H142,"Late","On Time")</f>
        <v>On Time</v>
      </c>
      <c r="Q142">
        <f>MAX(0,I142-H142)</f>
        <v>0</v>
      </c>
      <c r="R142" t="str">
        <f t="shared" si="8"/>
        <v>High</v>
      </c>
      <c r="S142" t="str">
        <f t="shared" si="9"/>
        <v>Completed</v>
      </c>
      <c r="T142">
        <f t="shared" si="10"/>
        <v>1239</v>
      </c>
      <c r="U142">
        <f t="shared" si="11"/>
        <v>0</v>
      </c>
    </row>
    <row r="143" spans="1:21">
      <c r="A143" t="s">
        <v>180</v>
      </c>
      <c r="B143" s="2">
        <v>46267</v>
      </c>
      <c r="C143" t="s">
        <v>41</v>
      </c>
      <c r="D143" t="s">
        <v>36</v>
      </c>
      <c r="E143">
        <v>36</v>
      </c>
      <c r="F143" s="3">
        <v>4159</v>
      </c>
      <c r="G143" s="4">
        <v>0</v>
      </c>
      <c r="H143">
        <v>2</v>
      </c>
      <c r="I143">
        <v>2</v>
      </c>
      <c r="J143" t="s">
        <v>33</v>
      </c>
      <c r="K143">
        <v>4</v>
      </c>
      <c r="L143" t="s">
        <v>21</v>
      </c>
      <c r="M143" t="s">
        <v>21</v>
      </c>
      <c r="N143" s="5">
        <v>9.4</v>
      </c>
      <c r="O143" t="s">
        <v>27</v>
      </c>
      <c r="P143" t="str">
        <f>IF(I143&gt;H143,"Late","On Time")</f>
        <v>On Time</v>
      </c>
      <c r="Q143">
        <f>MAX(0,I143-H143)</f>
        <v>0</v>
      </c>
      <c r="R143" t="str">
        <f t="shared" si="8"/>
        <v>High</v>
      </c>
      <c r="S143" t="str">
        <f t="shared" si="9"/>
        <v>Completed</v>
      </c>
      <c r="T143">
        <f t="shared" si="10"/>
        <v>4159</v>
      </c>
      <c r="U143">
        <f t="shared" si="11"/>
        <v>0</v>
      </c>
    </row>
    <row r="144" spans="1:21">
      <c r="A144" t="s">
        <v>181</v>
      </c>
      <c r="B144" s="2">
        <v>46274</v>
      </c>
      <c r="C144" t="s">
        <v>41</v>
      </c>
      <c r="D144" t="s">
        <v>29</v>
      </c>
      <c r="E144">
        <v>30</v>
      </c>
      <c r="F144" s="3">
        <v>2988</v>
      </c>
      <c r="G144" s="4">
        <v>25</v>
      </c>
      <c r="H144">
        <v>3</v>
      </c>
      <c r="I144">
        <v>2</v>
      </c>
      <c r="J144" t="s">
        <v>33</v>
      </c>
      <c r="K144">
        <v>5</v>
      </c>
      <c r="L144" t="s">
        <v>21</v>
      </c>
      <c r="M144" t="s">
        <v>21</v>
      </c>
      <c r="N144" s="5">
        <v>18.7</v>
      </c>
      <c r="O144" t="s">
        <v>22</v>
      </c>
      <c r="P144" t="str">
        <f>IF(I144&gt;H144,"Late","On Time")</f>
        <v>On Time</v>
      </c>
      <c r="Q144">
        <f>MAX(0,I144-H144)</f>
        <v>0</v>
      </c>
      <c r="R144" t="str">
        <f t="shared" si="8"/>
        <v>High</v>
      </c>
      <c r="S144" t="str">
        <f t="shared" si="9"/>
        <v>Completed</v>
      </c>
      <c r="T144">
        <f t="shared" si="10"/>
        <v>2241</v>
      </c>
      <c r="U144">
        <f t="shared" si="11"/>
        <v>0</v>
      </c>
    </row>
    <row r="145" spans="1:21">
      <c r="A145" t="s">
        <v>182</v>
      </c>
      <c r="B145" s="2">
        <v>46250</v>
      </c>
      <c r="C145" t="s">
        <v>41</v>
      </c>
      <c r="D145" t="s">
        <v>38</v>
      </c>
      <c r="E145">
        <v>45</v>
      </c>
      <c r="F145" s="3">
        <v>1597</v>
      </c>
      <c r="G145" s="4">
        <v>20</v>
      </c>
      <c r="H145">
        <v>3</v>
      </c>
      <c r="I145">
        <v>3</v>
      </c>
      <c r="J145" t="s">
        <v>39</v>
      </c>
      <c r="K145">
        <v>5</v>
      </c>
      <c r="L145" t="s">
        <v>21</v>
      </c>
      <c r="M145" t="s">
        <v>21</v>
      </c>
      <c r="N145" s="5">
        <v>3.8</v>
      </c>
      <c r="O145" t="s">
        <v>27</v>
      </c>
      <c r="P145" t="str">
        <f>IF(I145&gt;H145,"Late","On Time")</f>
        <v>On Time</v>
      </c>
      <c r="Q145">
        <f>MAX(0,I145-H145)</f>
        <v>0</v>
      </c>
      <c r="R145" t="str">
        <f t="shared" si="8"/>
        <v>High</v>
      </c>
      <c r="S145" t="str">
        <f t="shared" si="9"/>
        <v>Completed</v>
      </c>
      <c r="T145">
        <f t="shared" si="10"/>
        <v>1277.6000000000001</v>
      </c>
      <c r="U145">
        <f t="shared" si="11"/>
        <v>0</v>
      </c>
    </row>
    <row r="146" spans="1:21">
      <c r="A146" t="s">
        <v>183</v>
      </c>
      <c r="B146" s="2">
        <v>46280</v>
      </c>
      <c r="C146" t="s">
        <v>41</v>
      </c>
      <c r="D146" t="s">
        <v>38</v>
      </c>
      <c r="E146">
        <v>35</v>
      </c>
      <c r="F146" s="3">
        <v>3575</v>
      </c>
      <c r="G146" s="4">
        <v>25</v>
      </c>
      <c r="H146">
        <v>4</v>
      </c>
      <c r="I146">
        <v>4</v>
      </c>
      <c r="J146" t="s">
        <v>20</v>
      </c>
      <c r="K146">
        <v>4</v>
      </c>
      <c r="L146" t="s">
        <v>21</v>
      </c>
      <c r="M146" t="s">
        <v>21</v>
      </c>
      <c r="N146" s="5">
        <v>1.8</v>
      </c>
      <c r="O146" t="s">
        <v>27</v>
      </c>
      <c r="P146" t="str">
        <f>IF(I146&gt;H146,"Late","On Time")</f>
        <v>On Time</v>
      </c>
      <c r="Q146">
        <f>MAX(0,I146-H146)</f>
        <v>0</v>
      </c>
      <c r="R146" t="str">
        <f t="shared" si="8"/>
        <v>High</v>
      </c>
      <c r="S146" t="str">
        <f t="shared" si="9"/>
        <v>Completed</v>
      </c>
      <c r="T146">
        <f t="shared" si="10"/>
        <v>2681.25</v>
      </c>
      <c r="U146">
        <f t="shared" si="11"/>
        <v>0</v>
      </c>
    </row>
    <row r="147" spans="1:21">
      <c r="A147" t="s">
        <v>184</v>
      </c>
      <c r="B147" s="2">
        <v>46265</v>
      </c>
      <c r="C147" t="s">
        <v>35</v>
      </c>
      <c r="D147" t="s">
        <v>32</v>
      </c>
      <c r="E147">
        <v>25</v>
      </c>
      <c r="F147" s="3">
        <v>815</v>
      </c>
      <c r="G147" s="4">
        <v>25</v>
      </c>
      <c r="H147">
        <v>2</v>
      </c>
      <c r="I147">
        <v>2</v>
      </c>
      <c r="J147" t="s">
        <v>20</v>
      </c>
      <c r="K147">
        <v>5</v>
      </c>
      <c r="L147" t="s">
        <v>21</v>
      </c>
      <c r="M147" t="s">
        <v>21</v>
      </c>
      <c r="N147" s="5">
        <v>11.2</v>
      </c>
      <c r="O147" t="s">
        <v>27</v>
      </c>
      <c r="P147" t="str">
        <f>IF(I147&gt;H147,"Late","On Time")</f>
        <v>On Time</v>
      </c>
      <c r="Q147">
        <f>MAX(0,I147-H147)</f>
        <v>0</v>
      </c>
      <c r="R147" t="str">
        <f t="shared" si="8"/>
        <v>High</v>
      </c>
      <c r="S147" t="str">
        <f t="shared" si="9"/>
        <v>Completed</v>
      </c>
      <c r="T147">
        <f t="shared" si="10"/>
        <v>611.25</v>
      </c>
      <c r="U147">
        <f t="shared" si="11"/>
        <v>0</v>
      </c>
    </row>
    <row r="148" spans="1:21">
      <c r="A148" t="s">
        <v>185</v>
      </c>
      <c r="B148" s="2">
        <v>46247</v>
      </c>
      <c r="C148" t="s">
        <v>55</v>
      </c>
      <c r="D148" t="s">
        <v>38</v>
      </c>
      <c r="E148">
        <v>31</v>
      </c>
      <c r="F148" s="3">
        <v>1467</v>
      </c>
      <c r="G148" s="4">
        <v>20</v>
      </c>
      <c r="H148">
        <v>1</v>
      </c>
      <c r="I148">
        <v>1</v>
      </c>
      <c r="J148" t="s">
        <v>20</v>
      </c>
      <c r="K148">
        <v>4</v>
      </c>
      <c r="L148" t="s">
        <v>21</v>
      </c>
      <c r="M148" t="s">
        <v>21</v>
      </c>
      <c r="N148" s="5">
        <v>15.4</v>
      </c>
      <c r="O148" t="s">
        <v>22</v>
      </c>
      <c r="P148" t="str">
        <f>IF(I148&gt;H148,"Late","On Time")</f>
        <v>On Time</v>
      </c>
      <c r="Q148">
        <f>MAX(0,I148-H148)</f>
        <v>0</v>
      </c>
      <c r="R148" t="str">
        <f t="shared" si="8"/>
        <v>High</v>
      </c>
      <c r="S148" t="str">
        <f t="shared" si="9"/>
        <v>Completed</v>
      </c>
      <c r="T148">
        <f t="shared" si="10"/>
        <v>1173.6000000000001</v>
      </c>
      <c r="U148">
        <f t="shared" si="11"/>
        <v>0</v>
      </c>
    </row>
    <row r="149" spans="1:21">
      <c r="A149" t="s">
        <v>186</v>
      </c>
      <c r="B149" s="2">
        <v>46264</v>
      </c>
      <c r="C149" t="s">
        <v>55</v>
      </c>
      <c r="D149" t="s">
        <v>47</v>
      </c>
      <c r="E149">
        <v>27</v>
      </c>
      <c r="F149" s="3">
        <v>496</v>
      </c>
      <c r="G149" s="4">
        <v>5</v>
      </c>
      <c r="H149">
        <v>2</v>
      </c>
      <c r="I149">
        <v>2</v>
      </c>
      <c r="J149" t="s">
        <v>26</v>
      </c>
      <c r="K149">
        <v>5</v>
      </c>
      <c r="L149" t="s">
        <v>21</v>
      </c>
      <c r="M149" t="s">
        <v>21</v>
      </c>
      <c r="N149" s="5">
        <v>24.1</v>
      </c>
      <c r="O149" t="s">
        <v>27</v>
      </c>
      <c r="P149" t="str">
        <f>IF(I149&gt;H149,"Late","On Time")</f>
        <v>On Time</v>
      </c>
      <c r="Q149">
        <f>MAX(0,I149-H149)</f>
        <v>0</v>
      </c>
      <c r="R149" t="str">
        <f t="shared" si="8"/>
        <v>High</v>
      </c>
      <c r="S149" t="str">
        <f t="shared" si="9"/>
        <v>Completed</v>
      </c>
      <c r="T149">
        <f t="shared" si="10"/>
        <v>471.2</v>
      </c>
      <c r="U149">
        <f t="shared" si="11"/>
        <v>0</v>
      </c>
    </row>
    <row r="150" spans="1:21">
      <c r="A150" t="s">
        <v>187</v>
      </c>
      <c r="B150" s="2">
        <v>46269</v>
      </c>
      <c r="C150" t="s">
        <v>24</v>
      </c>
      <c r="D150" t="s">
        <v>47</v>
      </c>
      <c r="E150">
        <v>44</v>
      </c>
      <c r="F150" s="3">
        <v>1500</v>
      </c>
      <c r="G150" s="4">
        <v>15</v>
      </c>
      <c r="H150">
        <v>3</v>
      </c>
      <c r="I150">
        <v>2</v>
      </c>
      <c r="J150" t="s">
        <v>26</v>
      </c>
      <c r="K150">
        <v>5</v>
      </c>
      <c r="L150" t="s">
        <v>21</v>
      </c>
      <c r="M150" t="s">
        <v>56</v>
      </c>
      <c r="N150" s="5">
        <v>20.7</v>
      </c>
      <c r="O150" t="s">
        <v>27</v>
      </c>
      <c r="P150" t="str">
        <f>IF(I150&gt;H150,"Late","On Time")</f>
        <v>On Time</v>
      </c>
      <c r="Q150">
        <f>MAX(0,I150-H150)</f>
        <v>0</v>
      </c>
      <c r="R150" t="str">
        <f t="shared" si="8"/>
        <v>High</v>
      </c>
      <c r="S150" t="str">
        <f t="shared" si="9"/>
        <v>Returned</v>
      </c>
      <c r="T150">
        <f t="shared" si="10"/>
        <v>1275</v>
      </c>
      <c r="U150">
        <f t="shared" si="11"/>
        <v>0</v>
      </c>
    </row>
    <row r="151" spans="1:21">
      <c r="A151" t="s">
        <v>188</v>
      </c>
      <c r="B151" s="2">
        <v>46259</v>
      </c>
      <c r="C151" t="s">
        <v>18</v>
      </c>
      <c r="D151" t="s">
        <v>19</v>
      </c>
      <c r="E151">
        <v>48</v>
      </c>
      <c r="F151" s="3">
        <v>4431</v>
      </c>
      <c r="G151" s="4">
        <v>0</v>
      </c>
      <c r="H151">
        <v>3</v>
      </c>
      <c r="I151">
        <v>3</v>
      </c>
      <c r="J151" t="s">
        <v>39</v>
      </c>
      <c r="K151">
        <v>4</v>
      </c>
      <c r="L151" t="s">
        <v>21</v>
      </c>
      <c r="M151" t="s">
        <v>21</v>
      </c>
      <c r="N151" s="5">
        <v>12.3</v>
      </c>
      <c r="O151" t="s">
        <v>59</v>
      </c>
      <c r="P151" t="str">
        <f>IF(I151&gt;H151,"Late","On Time")</f>
        <v>On Time</v>
      </c>
      <c r="Q151">
        <f>MAX(0,I151-H151)</f>
        <v>0</v>
      </c>
      <c r="R151" t="str">
        <f t="shared" si="8"/>
        <v>High</v>
      </c>
      <c r="S151" t="str">
        <f t="shared" si="9"/>
        <v>Completed</v>
      </c>
      <c r="T151">
        <f t="shared" si="10"/>
        <v>4431</v>
      </c>
      <c r="U151">
        <f t="shared" si="11"/>
        <v>0</v>
      </c>
    </row>
    <row r="152" spans="1:21">
      <c r="A152" t="s">
        <v>189</v>
      </c>
      <c r="B152" s="2">
        <v>46264</v>
      </c>
      <c r="C152" t="s">
        <v>18</v>
      </c>
      <c r="D152" t="s">
        <v>32</v>
      </c>
      <c r="E152">
        <v>52</v>
      </c>
      <c r="F152" s="3">
        <v>7526</v>
      </c>
      <c r="G152" s="4">
        <v>0</v>
      </c>
      <c r="H152">
        <v>3</v>
      </c>
      <c r="I152">
        <v>3</v>
      </c>
      <c r="J152" t="s">
        <v>30</v>
      </c>
      <c r="K152">
        <v>5</v>
      </c>
      <c r="L152" t="s">
        <v>21</v>
      </c>
      <c r="M152" t="s">
        <v>56</v>
      </c>
      <c r="N152" s="5">
        <v>27.8</v>
      </c>
      <c r="O152" t="s">
        <v>27</v>
      </c>
      <c r="P152" t="str">
        <f>IF(I152&gt;H152,"Late","On Time")</f>
        <v>On Time</v>
      </c>
      <c r="Q152">
        <f>MAX(0,I152-H152)</f>
        <v>0</v>
      </c>
      <c r="R152" t="str">
        <f t="shared" si="8"/>
        <v>High</v>
      </c>
      <c r="S152" t="str">
        <f t="shared" si="9"/>
        <v>Returned</v>
      </c>
      <c r="T152">
        <f t="shared" si="10"/>
        <v>7526</v>
      </c>
      <c r="U152">
        <f t="shared" si="11"/>
        <v>0</v>
      </c>
    </row>
    <row r="153" spans="1:21">
      <c r="A153" t="s">
        <v>190</v>
      </c>
      <c r="B153" s="2">
        <v>46274</v>
      </c>
      <c r="C153" t="s">
        <v>55</v>
      </c>
      <c r="D153" t="s">
        <v>25</v>
      </c>
      <c r="E153">
        <v>52</v>
      </c>
      <c r="F153" s="3">
        <v>2282</v>
      </c>
      <c r="G153" s="4">
        <v>15</v>
      </c>
      <c r="H153">
        <v>2</v>
      </c>
      <c r="I153">
        <v>2</v>
      </c>
      <c r="J153" t="s">
        <v>39</v>
      </c>
      <c r="K153">
        <v>4</v>
      </c>
      <c r="L153" t="s">
        <v>21</v>
      </c>
      <c r="M153" t="s">
        <v>21</v>
      </c>
      <c r="N153" s="5">
        <v>8.1</v>
      </c>
      <c r="O153" t="s">
        <v>27</v>
      </c>
      <c r="P153" t="str">
        <f>IF(I153&gt;H153,"Late","On Time")</f>
        <v>On Time</v>
      </c>
      <c r="Q153">
        <f>MAX(0,I153-H153)</f>
        <v>0</v>
      </c>
      <c r="R153" t="str">
        <f t="shared" si="8"/>
        <v>High</v>
      </c>
      <c r="S153" t="str">
        <f t="shared" si="9"/>
        <v>Completed</v>
      </c>
      <c r="T153">
        <f t="shared" si="10"/>
        <v>1939.7</v>
      </c>
      <c r="U153">
        <f t="shared" si="11"/>
        <v>0</v>
      </c>
    </row>
    <row r="154" spans="1:21">
      <c r="A154" t="s">
        <v>191</v>
      </c>
      <c r="B154" s="2">
        <v>46243</v>
      </c>
      <c r="C154" t="s">
        <v>18</v>
      </c>
      <c r="D154" t="s">
        <v>36</v>
      </c>
      <c r="E154">
        <v>31</v>
      </c>
      <c r="F154" s="3">
        <v>7260</v>
      </c>
      <c r="G154" s="4">
        <v>15</v>
      </c>
      <c r="H154">
        <v>4</v>
      </c>
      <c r="I154">
        <v>4</v>
      </c>
      <c r="J154" t="s">
        <v>26</v>
      </c>
      <c r="K154">
        <v>5</v>
      </c>
      <c r="L154" t="s">
        <v>21</v>
      </c>
      <c r="M154" t="s">
        <v>21</v>
      </c>
      <c r="N154" s="5">
        <v>19.3</v>
      </c>
      <c r="O154" t="s">
        <v>27</v>
      </c>
      <c r="P154" t="str">
        <f>IF(I154&gt;H154,"Late","On Time")</f>
        <v>On Time</v>
      </c>
      <c r="Q154">
        <f>MAX(0,I154-H154)</f>
        <v>0</v>
      </c>
      <c r="R154" t="str">
        <f t="shared" si="8"/>
        <v>High</v>
      </c>
      <c r="S154" t="str">
        <f t="shared" si="9"/>
        <v>Completed</v>
      </c>
      <c r="T154">
        <f t="shared" si="10"/>
        <v>6171</v>
      </c>
      <c r="U154">
        <f t="shared" si="11"/>
        <v>0</v>
      </c>
    </row>
    <row r="155" spans="1:21">
      <c r="A155" t="s">
        <v>192</v>
      </c>
      <c r="B155" s="2">
        <v>46254</v>
      </c>
      <c r="C155" t="s">
        <v>55</v>
      </c>
      <c r="D155" t="s">
        <v>29</v>
      </c>
      <c r="E155">
        <v>32</v>
      </c>
      <c r="F155" s="3">
        <v>1730</v>
      </c>
      <c r="G155" s="4">
        <v>25</v>
      </c>
      <c r="H155">
        <v>3</v>
      </c>
      <c r="I155">
        <v>3</v>
      </c>
      <c r="J155" t="s">
        <v>39</v>
      </c>
      <c r="K155">
        <v>4</v>
      </c>
      <c r="L155" t="s">
        <v>21</v>
      </c>
      <c r="M155" t="s">
        <v>21</v>
      </c>
      <c r="N155" s="5">
        <v>10</v>
      </c>
      <c r="O155" t="s">
        <v>22</v>
      </c>
      <c r="P155" t="str">
        <f>IF(I155&gt;H155,"Late","On Time")</f>
        <v>On Time</v>
      </c>
      <c r="Q155">
        <f>MAX(0,I155-H155)</f>
        <v>0</v>
      </c>
      <c r="R155" t="str">
        <f t="shared" si="8"/>
        <v>High</v>
      </c>
      <c r="S155" t="str">
        <f t="shared" si="9"/>
        <v>Completed</v>
      </c>
      <c r="T155">
        <f t="shared" si="10"/>
        <v>1297.5</v>
      </c>
      <c r="U155">
        <f t="shared" si="11"/>
        <v>0</v>
      </c>
    </row>
    <row r="156" spans="1:21">
      <c r="A156" t="s">
        <v>193</v>
      </c>
      <c r="B156" s="2">
        <v>46261</v>
      </c>
      <c r="C156" t="s">
        <v>35</v>
      </c>
      <c r="D156" t="s">
        <v>19</v>
      </c>
      <c r="E156">
        <v>53</v>
      </c>
      <c r="F156" s="3">
        <v>1582</v>
      </c>
      <c r="G156" s="4">
        <v>5</v>
      </c>
      <c r="H156">
        <v>2</v>
      </c>
      <c r="I156">
        <v>4</v>
      </c>
      <c r="J156" t="s">
        <v>39</v>
      </c>
      <c r="K156">
        <v>4</v>
      </c>
      <c r="L156" t="s">
        <v>21</v>
      </c>
      <c r="M156" t="s">
        <v>21</v>
      </c>
      <c r="N156" s="5">
        <v>16.2</v>
      </c>
      <c r="O156" t="s">
        <v>27</v>
      </c>
      <c r="P156" t="str">
        <f>IF(I156&gt;H156,"Late","On Time")</f>
        <v>Late</v>
      </c>
      <c r="Q156">
        <f>MAX(0,I156-H156)</f>
        <v>2</v>
      </c>
      <c r="R156" t="str">
        <f t="shared" si="8"/>
        <v>High</v>
      </c>
      <c r="S156" t="str">
        <f t="shared" si="9"/>
        <v>Completed</v>
      </c>
      <c r="T156">
        <f t="shared" si="10"/>
        <v>1502.8999999999999</v>
      </c>
      <c r="U156">
        <f t="shared" si="11"/>
        <v>1</v>
      </c>
    </row>
    <row r="157" spans="1:21">
      <c r="A157" t="s">
        <v>194</v>
      </c>
      <c r="B157" s="2">
        <v>46261</v>
      </c>
      <c r="C157" t="s">
        <v>24</v>
      </c>
      <c r="D157" t="s">
        <v>29</v>
      </c>
      <c r="E157">
        <v>42</v>
      </c>
      <c r="F157" s="3">
        <v>1211</v>
      </c>
      <c r="G157" s="4">
        <v>5</v>
      </c>
      <c r="H157">
        <v>4</v>
      </c>
      <c r="I157">
        <v>4</v>
      </c>
      <c r="J157" t="s">
        <v>39</v>
      </c>
      <c r="K157">
        <v>5</v>
      </c>
      <c r="L157" t="s">
        <v>21</v>
      </c>
      <c r="M157" t="s">
        <v>21</v>
      </c>
      <c r="N157" s="5">
        <v>14</v>
      </c>
      <c r="O157" t="s">
        <v>27</v>
      </c>
      <c r="P157" t="str">
        <f>IF(I157&gt;H157,"Late","On Time")</f>
        <v>On Time</v>
      </c>
      <c r="Q157">
        <f>MAX(0,I157-H157)</f>
        <v>0</v>
      </c>
      <c r="R157" t="str">
        <f t="shared" si="8"/>
        <v>High</v>
      </c>
      <c r="S157" t="str">
        <f t="shared" si="9"/>
        <v>Completed</v>
      </c>
      <c r="T157">
        <f t="shared" si="10"/>
        <v>1150.45</v>
      </c>
      <c r="U157">
        <f t="shared" si="11"/>
        <v>0</v>
      </c>
    </row>
    <row r="158" spans="1:21">
      <c r="A158" t="s">
        <v>195</v>
      </c>
      <c r="B158" s="2">
        <v>46273</v>
      </c>
      <c r="C158" t="s">
        <v>55</v>
      </c>
      <c r="D158" t="s">
        <v>47</v>
      </c>
      <c r="E158">
        <v>26</v>
      </c>
      <c r="F158" s="3">
        <v>1048</v>
      </c>
      <c r="G158" s="4">
        <v>10</v>
      </c>
      <c r="H158">
        <v>1</v>
      </c>
      <c r="I158">
        <v>1</v>
      </c>
      <c r="J158" t="s">
        <v>20</v>
      </c>
      <c r="K158">
        <v>5</v>
      </c>
      <c r="L158" t="s">
        <v>21</v>
      </c>
      <c r="M158" t="s">
        <v>56</v>
      </c>
      <c r="N158" s="5">
        <v>25.9</v>
      </c>
      <c r="O158" t="s">
        <v>27</v>
      </c>
      <c r="P158" t="str">
        <f>IF(I158&gt;H158,"Late","On Time")</f>
        <v>On Time</v>
      </c>
      <c r="Q158">
        <f>MAX(0,I158-H158)</f>
        <v>0</v>
      </c>
      <c r="R158" t="str">
        <f t="shared" si="8"/>
        <v>High</v>
      </c>
      <c r="S158" t="str">
        <f t="shared" si="9"/>
        <v>Returned</v>
      </c>
      <c r="T158">
        <f t="shared" si="10"/>
        <v>943.2</v>
      </c>
      <c r="U158">
        <f t="shared" si="11"/>
        <v>0</v>
      </c>
    </row>
    <row r="159" spans="1:21">
      <c r="A159" t="s">
        <v>196</v>
      </c>
      <c r="B159" s="2">
        <v>46247</v>
      </c>
      <c r="C159" t="s">
        <v>18</v>
      </c>
      <c r="D159" t="s">
        <v>38</v>
      </c>
      <c r="E159">
        <v>22</v>
      </c>
      <c r="F159" s="3">
        <v>5437</v>
      </c>
      <c r="G159" s="4">
        <v>5</v>
      </c>
      <c r="H159">
        <v>4</v>
      </c>
      <c r="I159">
        <v>4</v>
      </c>
      <c r="J159" t="s">
        <v>33</v>
      </c>
      <c r="K159">
        <v>4</v>
      </c>
      <c r="L159" t="s">
        <v>21</v>
      </c>
      <c r="M159" t="s">
        <v>21</v>
      </c>
      <c r="N159" s="5">
        <v>20.7</v>
      </c>
      <c r="O159" t="s">
        <v>59</v>
      </c>
      <c r="P159" t="str">
        <f>IF(I159&gt;H159,"Late","On Time")</f>
        <v>On Time</v>
      </c>
      <c r="Q159">
        <f>MAX(0,I159-H159)</f>
        <v>0</v>
      </c>
      <c r="R159" t="str">
        <f t="shared" si="8"/>
        <v>High</v>
      </c>
      <c r="S159" t="str">
        <f t="shared" si="9"/>
        <v>Completed</v>
      </c>
      <c r="T159">
        <f t="shared" si="10"/>
        <v>5165.1499999999996</v>
      </c>
      <c r="U159">
        <f t="shared" si="11"/>
        <v>0</v>
      </c>
    </row>
    <row r="160" spans="1:21">
      <c r="A160" t="s">
        <v>197</v>
      </c>
      <c r="B160" s="2">
        <v>46258</v>
      </c>
      <c r="C160" t="s">
        <v>18</v>
      </c>
      <c r="D160" t="s">
        <v>32</v>
      </c>
      <c r="E160">
        <v>48</v>
      </c>
      <c r="F160" s="3">
        <v>7512</v>
      </c>
      <c r="G160" s="4">
        <v>25</v>
      </c>
      <c r="H160">
        <v>3</v>
      </c>
      <c r="I160">
        <v>5</v>
      </c>
      <c r="J160" t="s">
        <v>30</v>
      </c>
      <c r="K160">
        <v>3</v>
      </c>
      <c r="L160" t="s">
        <v>21</v>
      </c>
      <c r="M160" t="s">
        <v>21</v>
      </c>
      <c r="N160" s="5">
        <v>12</v>
      </c>
      <c r="O160" t="s">
        <v>27</v>
      </c>
      <c r="P160" t="str">
        <f>IF(I160&gt;H160,"Late","On Time")</f>
        <v>Late</v>
      </c>
      <c r="Q160">
        <f>MAX(0,I160-H160)</f>
        <v>2</v>
      </c>
      <c r="R160" t="str">
        <f t="shared" si="8"/>
        <v>Medium</v>
      </c>
      <c r="S160" t="str">
        <f t="shared" si="9"/>
        <v>Completed</v>
      </c>
      <c r="T160">
        <f t="shared" si="10"/>
        <v>5634</v>
      </c>
      <c r="U160">
        <f t="shared" si="11"/>
        <v>1</v>
      </c>
    </row>
    <row r="161" spans="1:21">
      <c r="A161" t="s">
        <v>198</v>
      </c>
      <c r="B161" s="2">
        <v>46236</v>
      </c>
      <c r="C161" t="s">
        <v>55</v>
      </c>
      <c r="D161" t="s">
        <v>25</v>
      </c>
      <c r="E161">
        <v>47</v>
      </c>
      <c r="F161" s="3">
        <v>926</v>
      </c>
      <c r="G161" s="4">
        <v>0</v>
      </c>
      <c r="H161">
        <v>2</v>
      </c>
      <c r="I161">
        <v>2</v>
      </c>
      <c r="J161" t="s">
        <v>33</v>
      </c>
      <c r="K161">
        <v>4</v>
      </c>
      <c r="L161" t="s">
        <v>21</v>
      </c>
      <c r="M161" t="s">
        <v>21</v>
      </c>
      <c r="N161" s="5">
        <v>21.7</v>
      </c>
      <c r="O161" t="s">
        <v>27</v>
      </c>
      <c r="P161" t="str">
        <f>IF(I161&gt;H161,"Late","On Time")</f>
        <v>On Time</v>
      </c>
      <c r="Q161">
        <f>MAX(0,I161-H161)</f>
        <v>0</v>
      </c>
      <c r="R161" t="str">
        <f t="shared" si="8"/>
        <v>High</v>
      </c>
      <c r="S161" t="str">
        <f t="shared" si="9"/>
        <v>Completed</v>
      </c>
      <c r="T161">
        <f t="shared" si="10"/>
        <v>926</v>
      </c>
      <c r="U161">
        <f t="shared" si="11"/>
        <v>0</v>
      </c>
    </row>
    <row r="162" spans="1:21">
      <c r="A162" t="s">
        <v>199</v>
      </c>
      <c r="B162" s="2">
        <v>46281</v>
      </c>
      <c r="C162" t="s">
        <v>35</v>
      </c>
      <c r="D162" t="s">
        <v>47</v>
      </c>
      <c r="E162">
        <v>55</v>
      </c>
      <c r="F162" s="3">
        <v>580</v>
      </c>
      <c r="G162" s="4">
        <v>5</v>
      </c>
      <c r="H162">
        <v>2</v>
      </c>
      <c r="I162">
        <v>2</v>
      </c>
      <c r="J162" t="s">
        <v>39</v>
      </c>
      <c r="K162">
        <v>5</v>
      </c>
      <c r="L162" t="s">
        <v>21</v>
      </c>
      <c r="M162" t="s">
        <v>21</v>
      </c>
      <c r="N162" s="5">
        <v>10.199999999999999</v>
      </c>
      <c r="O162" t="s">
        <v>27</v>
      </c>
      <c r="P162" t="str">
        <f>IF(I162&gt;H162,"Late","On Time")</f>
        <v>On Time</v>
      </c>
      <c r="Q162">
        <f>MAX(0,I162-H162)</f>
        <v>0</v>
      </c>
      <c r="R162" t="str">
        <f t="shared" si="8"/>
        <v>High</v>
      </c>
      <c r="S162" t="str">
        <f t="shared" si="9"/>
        <v>Completed</v>
      </c>
      <c r="T162">
        <f t="shared" si="10"/>
        <v>551</v>
      </c>
      <c r="U162">
        <f t="shared" si="11"/>
        <v>0</v>
      </c>
    </row>
    <row r="163" spans="1:21">
      <c r="A163" t="s">
        <v>200</v>
      </c>
      <c r="B163" s="2">
        <v>46237</v>
      </c>
      <c r="C163" t="s">
        <v>41</v>
      </c>
      <c r="D163" t="s">
        <v>25</v>
      </c>
      <c r="E163">
        <v>28</v>
      </c>
      <c r="F163" s="3">
        <v>2004</v>
      </c>
      <c r="G163" s="4">
        <v>25</v>
      </c>
      <c r="H163">
        <v>3</v>
      </c>
      <c r="I163">
        <v>3</v>
      </c>
      <c r="J163" t="s">
        <v>20</v>
      </c>
      <c r="K163">
        <v>4</v>
      </c>
      <c r="L163" t="s">
        <v>21</v>
      </c>
      <c r="M163" t="s">
        <v>21</v>
      </c>
      <c r="N163" s="5">
        <v>6</v>
      </c>
      <c r="O163" t="s">
        <v>59</v>
      </c>
      <c r="P163" t="str">
        <f>IF(I163&gt;H163,"Late","On Time")</f>
        <v>On Time</v>
      </c>
      <c r="Q163">
        <f>MAX(0,I163-H163)</f>
        <v>0</v>
      </c>
      <c r="R163" t="str">
        <f t="shared" si="8"/>
        <v>High</v>
      </c>
      <c r="S163" t="str">
        <f t="shared" si="9"/>
        <v>Completed</v>
      </c>
      <c r="T163">
        <f t="shared" si="10"/>
        <v>1503</v>
      </c>
      <c r="U163">
        <f t="shared" si="11"/>
        <v>0</v>
      </c>
    </row>
    <row r="164" spans="1:21">
      <c r="A164" t="s">
        <v>201</v>
      </c>
      <c r="B164" s="2">
        <v>46265</v>
      </c>
      <c r="C164" t="s">
        <v>18</v>
      </c>
      <c r="D164" t="s">
        <v>38</v>
      </c>
      <c r="E164">
        <v>21</v>
      </c>
      <c r="F164" s="3">
        <v>4431</v>
      </c>
      <c r="G164" s="4">
        <v>25</v>
      </c>
      <c r="H164">
        <v>3</v>
      </c>
      <c r="I164">
        <v>4</v>
      </c>
      <c r="J164" t="s">
        <v>20</v>
      </c>
      <c r="K164">
        <v>4</v>
      </c>
      <c r="L164" t="s">
        <v>21</v>
      </c>
      <c r="M164" t="s">
        <v>21</v>
      </c>
      <c r="N164" s="5">
        <v>3.3</v>
      </c>
      <c r="O164" t="s">
        <v>22</v>
      </c>
      <c r="P164" t="str">
        <f>IF(I164&gt;H164,"Late","On Time")</f>
        <v>Late</v>
      </c>
      <c r="Q164">
        <f>MAX(0,I164-H164)</f>
        <v>1</v>
      </c>
      <c r="R164" t="str">
        <f t="shared" si="8"/>
        <v>High</v>
      </c>
      <c r="S164" t="str">
        <f t="shared" si="9"/>
        <v>Completed</v>
      </c>
      <c r="T164">
        <f t="shared" si="10"/>
        <v>3323.25</v>
      </c>
      <c r="U164">
        <f t="shared" si="11"/>
        <v>1</v>
      </c>
    </row>
    <row r="165" spans="1:21">
      <c r="A165" t="s">
        <v>202</v>
      </c>
      <c r="B165" s="2">
        <v>46246</v>
      </c>
      <c r="C165" t="s">
        <v>41</v>
      </c>
      <c r="D165" t="s">
        <v>19</v>
      </c>
      <c r="E165">
        <v>18</v>
      </c>
      <c r="F165" s="3">
        <v>1367</v>
      </c>
      <c r="G165" s="4">
        <v>20</v>
      </c>
      <c r="H165">
        <v>4</v>
      </c>
      <c r="I165">
        <v>6</v>
      </c>
      <c r="J165" t="s">
        <v>39</v>
      </c>
      <c r="K165">
        <v>3</v>
      </c>
      <c r="L165" t="s">
        <v>21</v>
      </c>
      <c r="M165" t="s">
        <v>21</v>
      </c>
      <c r="N165" s="5">
        <v>12.4</v>
      </c>
      <c r="O165" t="s">
        <v>22</v>
      </c>
      <c r="P165" t="str">
        <f>IF(I165&gt;H165,"Late","On Time")</f>
        <v>Late</v>
      </c>
      <c r="Q165">
        <f>MAX(0,I165-H165)</f>
        <v>2</v>
      </c>
      <c r="R165" t="str">
        <f t="shared" si="8"/>
        <v>Medium</v>
      </c>
      <c r="S165" t="str">
        <f t="shared" si="9"/>
        <v>Completed</v>
      </c>
      <c r="T165">
        <f t="shared" si="10"/>
        <v>1093.6000000000001</v>
      </c>
      <c r="U165">
        <f t="shared" si="11"/>
        <v>1</v>
      </c>
    </row>
    <row r="166" spans="1:21">
      <c r="A166" t="s">
        <v>203</v>
      </c>
      <c r="B166" s="2">
        <v>46254</v>
      </c>
      <c r="C166" t="s">
        <v>18</v>
      </c>
      <c r="D166" t="s">
        <v>19</v>
      </c>
      <c r="E166">
        <v>51</v>
      </c>
      <c r="F166" s="3">
        <v>5168</v>
      </c>
      <c r="G166" s="4">
        <v>20</v>
      </c>
      <c r="H166">
        <v>3</v>
      </c>
      <c r="I166">
        <v>3</v>
      </c>
      <c r="J166" t="s">
        <v>33</v>
      </c>
      <c r="K166">
        <v>4</v>
      </c>
      <c r="L166" t="s">
        <v>21</v>
      </c>
      <c r="M166" t="s">
        <v>21</v>
      </c>
      <c r="N166" s="5">
        <v>23.1</v>
      </c>
      <c r="O166" t="s">
        <v>27</v>
      </c>
      <c r="P166" t="str">
        <f>IF(I166&gt;H166,"Late","On Time")</f>
        <v>On Time</v>
      </c>
      <c r="Q166">
        <f>MAX(0,I166-H166)</f>
        <v>0</v>
      </c>
      <c r="R166" t="str">
        <f t="shared" si="8"/>
        <v>High</v>
      </c>
      <c r="S166" t="str">
        <f t="shared" si="9"/>
        <v>Completed</v>
      </c>
      <c r="T166">
        <f t="shared" si="10"/>
        <v>4134.4000000000005</v>
      </c>
      <c r="U166">
        <f t="shared" si="11"/>
        <v>0</v>
      </c>
    </row>
    <row r="167" spans="1:21">
      <c r="A167" t="s">
        <v>204</v>
      </c>
      <c r="B167" s="2">
        <v>46271</v>
      </c>
      <c r="C167" t="s">
        <v>18</v>
      </c>
      <c r="D167" t="s">
        <v>32</v>
      </c>
      <c r="E167">
        <v>20</v>
      </c>
      <c r="F167" s="3">
        <v>5513</v>
      </c>
      <c r="G167" s="4">
        <v>0</v>
      </c>
      <c r="H167">
        <v>3</v>
      </c>
      <c r="I167">
        <v>2</v>
      </c>
      <c r="J167" t="s">
        <v>30</v>
      </c>
      <c r="K167">
        <v>5</v>
      </c>
      <c r="L167" t="s">
        <v>21</v>
      </c>
      <c r="M167" t="s">
        <v>21</v>
      </c>
      <c r="N167" s="5">
        <v>11.6</v>
      </c>
      <c r="O167" t="s">
        <v>22</v>
      </c>
      <c r="P167" t="str">
        <f>IF(I167&gt;H167,"Late","On Time")</f>
        <v>On Time</v>
      </c>
      <c r="Q167">
        <f>MAX(0,I167-H167)</f>
        <v>0</v>
      </c>
      <c r="R167" t="str">
        <f t="shared" si="8"/>
        <v>High</v>
      </c>
      <c r="S167" t="str">
        <f t="shared" si="9"/>
        <v>Completed</v>
      </c>
      <c r="T167">
        <f t="shared" si="10"/>
        <v>5513</v>
      </c>
      <c r="U167">
        <f t="shared" si="11"/>
        <v>0</v>
      </c>
    </row>
    <row r="168" spans="1:21">
      <c r="A168" t="s">
        <v>205</v>
      </c>
      <c r="B168" s="2">
        <v>46255</v>
      </c>
      <c r="C168" t="s">
        <v>18</v>
      </c>
      <c r="D168" t="s">
        <v>47</v>
      </c>
      <c r="E168">
        <v>20</v>
      </c>
      <c r="F168" s="3">
        <v>4882</v>
      </c>
      <c r="G168" s="4">
        <v>25</v>
      </c>
      <c r="H168">
        <v>4</v>
      </c>
      <c r="I168">
        <v>5</v>
      </c>
      <c r="J168" t="s">
        <v>33</v>
      </c>
      <c r="K168">
        <v>4</v>
      </c>
      <c r="L168" t="s">
        <v>21</v>
      </c>
      <c r="M168" t="s">
        <v>21</v>
      </c>
      <c r="N168" s="5">
        <v>14.1</v>
      </c>
      <c r="O168" t="s">
        <v>22</v>
      </c>
      <c r="P168" t="str">
        <f>IF(I168&gt;H168,"Late","On Time")</f>
        <v>Late</v>
      </c>
      <c r="Q168">
        <f>MAX(0,I168-H168)</f>
        <v>1</v>
      </c>
      <c r="R168" t="str">
        <f t="shared" si="8"/>
        <v>High</v>
      </c>
      <c r="S168" t="str">
        <f t="shared" si="9"/>
        <v>Completed</v>
      </c>
      <c r="T168">
        <f t="shared" si="10"/>
        <v>3661.5</v>
      </c>
      <c r="U168">
        <f t="shared" si="11"/>
        <v>1</v>
      </c>
    </row>
    <row r="169" spans="1:21">
      <c r="A169" t="s">
        <v>206</v>
      </c>
      <c r="B169" s="2">
        <v>46259</v>
      </c>
      <c r="C169" t="s">
        <v>18</v>
      </c>
      <c r="D169" t="s">
        <v>36</v>
      </c>
      <c r="E169">
        <v>55</v>
      </c>
      <c r="F169" s="3">
        <v>9536</v>
      </c>
      <c r="G169" s="4">
        <v>5</v>
      </c>
      <c r="H169">
        <v>3</v>
      </c>
      <c r="I169">
        <v>4</v>
      </c>
      <c r="J169" t="s">
        <v>30</v>
      </c>
      <c r="K169">
        <v>3</v>
      </c>
      <c r="L169" t="s">
        <v>21</v>
      </c>
      <c r="M169" t="s">
        <v>21</v>
      </c>
      <c r="N169" s="5">
        <v>26.1</v>
      </c>
      <c r="O169" t="s">
        <v>22</v>
      </c>
      <c r="P169" t="str">
        <f>IF(I169&gt;H169,"Late","On Time")</f>
        <v>Late</v>
      </c>
      <c r="Q169">
        <f>MAX(0,I169-H169)</f>
        <v>1</v>
      </c>
      <c r="R169" t="str">
        <f t="shared" si="8"/>
        <v>Medium</v>
      </c>
      <c r="S169" t="str">
        <f t="shared" si="9"/>
        <v>Completed</v>
      </c>
      <c r="T169">
        <f t="shared" si="10"/>
        <v>9059.1999999999989</v>
      </c>
      <c r="U169">
        <f t="shared" si="11"/>
        <v>1</v>
      </c>
    </row>
    <row r="170" spans="1:21">
      <c r="A170" t="s">
        <v>207</v>
      </c>
      <c r="B170" s="2">
        <v>46236</v>
      </c>
      <c r="C170" t="s">
        <v>24</v>
      </c>
      <c r="D170" t="s">
        <v>38</v>
      </c>
      <c r="E170">
        <v>23</v>
      </c>
      <c r="F170" s="3">
        <v>250</v>
      </c>
      <c r="G170" s="4">
        <v>0</v>
      </c>
      <c r="H170">
        <v>2</v>
      </c>
      <c r="I170">
        <v>2</v>
      </c>
      <c r="J170" t="s">
        <v>30</v>
      </c>
      <c r="K170">
        <v>4</v>
      </c>
      <c r="L170" t="s">
        <v>21</v>
      </c>
      <c r="M170" t="s">
        <v>21</v>
      </c>
      <c r="N170" s="5">
        <v>13.1</v>
      </c>
      <c r="O170" t="s">
        <v>59</v>
      </c>
      <c r="P170" t="str">
        <f>IF(I170&gt;H170,"Late","On Time")</f>
        <v>On Time</v>
      </c>
      <c r="Q170">
        <f>MAX(0,I170-H170)</f>
        <v>0</v>
      </c>
      <c r="R170" t="str">
        <f t="shared" si="8"/>
        <v>High</v>
      </c>
      <c r="S170" t="str">
        <f t="shared" si="9"/>
        <v>Completed</v>
      </c>
      <c r="T170">
        <f t="shared" si="10"/>
        <v>250</v>
      </c>
      <c r="U170">
        <f t="shared" si="11"/>
        <v>0</v>
      </c>
    </row>
    <row r="171" spans="1:21">
      <c r="A171" t="s">
        <v>208</v>
      </c>
      <c r="B171" s="2">
        <v>46250</v>
      </c>
      <c r="C171" t="s">
        <v>35</v>
      </c>
      <c r="D171" t="s">
        <v>38</v>
      </c>
      <c r="E171">
        <v>46</v>
      </c>
      <c r="F171" s="3">
        <v>895</v>
      </c>
      <c r="G171" s="4">
        <v>15</v>
      </c>
      <c r="H171">
        <v>2</v>
      </c>
      <c r="I171">
        <v>2</v>
      </c>
      <c r="J171" t="s">
        <v>30</v>
      </c>
      <c r="K171">
        <v>4</v>
      </c>
      <c r="L171" t="s">
        <v>21</v>
      </c>
      <c r="M171" t="s">
        <v>21</v>
      </c>
      <c r="N171" s="5">
        <v>10.9</v>
      </c>
      <c r="O171" t="s">
        <v>22</v>
      </c>
      <c r="P171" t="str">
        <f>IF(I171&gt;H171,"Late","On Time")</f>
        <v>On Time</v>
      </c>
      <c r="Q171">
        <f>MAX(0,I171-H171)</f>
        <v>0</v>
      </c>
      <c r="R171" t="str">
        <f t="shared" si="8"/>
        <v>High</v>
      </c>
      <c r="S171" t="str">
        <f t="shared" si="9"/>
        <v>Completed</v>
      </c>
      <c r="T171">
        <f t="shared" si="10"/>
        <v>760.75</v>
      </c>
      <c r="U171">
        <f t="shared" si="11"/>
        <v>0</v>
      </c>
    </row>
    <row r="172" spans="1:21">
      <c r="A172" t="s">
        <v>209</v>
      </c>
      <c r="B172" s="2">
        <v>46243</v>
      </c>
      <c r="C172" t="s">
        <v>18</v>
      </c>
      <c r="D172" t="s">
        <v>19</v>
      </c>
      <c r="E172">
        <v>35</v>
      </c>
      <c r="F172" s="3">
        <v>6432</v>
      </c>
      <c r="G172" s="4">
        <v>25</v>
      </c>
      <c r="H172">
        <v>3</v>
      </c>
      <c r="I172">
        <v>2</v>
      </c>
      <c r="J172" t="s">
        <v>26</v>
      </c>
      <c r="K172">
        <v>4</v>
      </c>
      <c r="L172" t="s">
        <v>21</v>
      </c>
      <c r="M172" t="s">
        <v>21</v>
      </c>
      <c r="N172" s="5">
        <v>21.1</v>
      </c>
      <c r="O172" t="s">
        <v>22</v>
      </c>
      <c r="P172" t="str">
        <f>IF(I172&gt;H172,"Late","On Time")</f>
        <v>On Time</v>
      </c>
      <c r="Q172">
        <f>MAX(0,I172-H172)</f>
        <v>0</v>
      </c>
      <c r="R172" t="str">
        <f t="shared" si="8"/>
        <v>High</v>
      </c>
      <c r="S172" t="str">
        <f t="shared" si="9"/>
        <v>Completed</v>
      </c>
      <c r="T172">
        <f t="shared" si="10"/>
        <v>4824</v>
      </c>
      <c r="U172">
        <f t="shared" si="11"/>
        <v>0</v>
      </c>
    </row>
    <row r="173" spans="1:21">
      <c r="A173" t="s">
        <v>210</v>
      </c>
      <c r="B173" s="2">
        <v>46235</v>
      </c>
      <c r="C173" t="s">
        <v>18</v>
      </c>
      <c r="D173" t="s">
        <v>36</v>
      </c>
      <c r="E173">
        <v>45</v>
      </c>
      <c r="F173" s="3">
        <v>7450</v>
      </c>
      <c r="G173" s="4">
        <v>15</v>
      </c>
      <c r="H173">
        <v>4</v>
      </c>
      <c r="I173">
        <v>3</v>
      </c>
      <c r="J173" t="s">
        <v>39</v>
      </c>
      <c r="K173">
        <v>4</v>
      </c>
      <c r="L173" t="s">
        <v>21</v>
      </c>
      <c r="M173" t="s">
        <v>21</v>
      </c>
      <c r="N173" s="5">
        <v>16.2</v>
      </c>
      <c r="O173" t="s">
        <v>22</v>
      </c>
      <c r="P173" t="str">
        <f>IF(I173&gt;H173,"Late","On Time")</f>
        <v>On Time</v>
      </c>
      <c r="Q173">
        <f>MAX(0,I173-H173)</f>
        <v>0</v>
      </c>
      <c r="R173" t="str">
        <f t="shared" si="8"/>
        <v>High</v>
      </c>
      <c r="S173" t="str">
        <f t="shared" si="9"/>
        <v>Completed</v>
      </c>
      <c r="T173">
        <f t="shared" si="10"/>
        <v>6332.5</v>
      </c>
      <c r="U173">
        <f t="shared" si="11"/>
        <v>0</v>
      </c>
    </row>
    <row r="174" spans="1:21">
      <c r="A174" t="s">
        <v>211</v>
      </c>
      <c r="B174" s="2">
        <v>46262</v>
      </c>
      <c r="C174" t="s">
        <v>35</v>
      </c>
      <c r="D174" t="s">
        <v>25</v>
      </c>
      <c r="E174">
        <v>42</v>
      </c>
      <c r="F174" s="3">
        <v>1002</v>
      </c>
      <c r="G174" s="4">
        <v>20</v>
      </c>
      <c r="H174">
        <v>2</v>
      </c>
      <c r="I174">
        <v>5</v>
      </c>
      <c r="J174" t="s">
        <v>33</v>
      </c>
      <c r="K174">
        <v>2</v>
      </c>
      <c r="L174" t="s">
        <v>21</v>
      </c>
      <c r="M174" t="s">
        <v>21</v>
      </c>
      <c r="N174" s="5">
        <v>16.7</v>
      </c>
      <c r="O174" t="s">
        <v>27</v>
      </c>
      <c r="P174" t="str">
        <f>IF(I174&gt;H174,"Late","On Time")</f>
        <v>Late</v>
      </c>
      <c r="Q174">
        <f>MAX(0,I174-H174)</f>
        <v>3</v>
      </c>
      <c r="R174" t="str">
        <f t="shared" si="8"/>
        <v>Low</v>
      </c>
      <c r="S174" t="str">
        <f t="shared" si="9"/>
        <v>Completed</v>
      </c>
      <c r="T174">
        <f t="shared" si="10"/>
        <v>801.6</v>
      </c>
      <c r="U174">
        <f t="shared" si="11"/>
        <v>1</v>
      </c>
    </row>
    <row r="175" spans="1:21">
      <c r="A175" t="s">
        <v>212</v>
      </c>
      <c r="B175" s="2">
        <v>46256</v>
      </c>
      <c r="C175" t="s">
        <v>35</v>
      </c>
      <c r="D175" t="s">
        <v>25</v>
      </c>
      <c r="E175">
        <v>37</v>
      </c>
      <c r="F175" s="3">
        <v>347</v>
      </c>
      <c r="G175" s="4">
        <v>15</v>
      </c>
      <c r="H175">
        <v>1</v>
      </c>
      <c r="I175">
        <v>1</v>
      </c>
      <c r="J175" t="s">
        <v>39</v>
      </c>
      <c r="K175">
        <v>5</v>
      </c>
      <c r="L175" t="s">
        <v>21</v>
      </c>
      <c r="M175" t="s">
        <v>21</v>
      </c>
      <c r="N175" s="5">
        <v>11.1</v>
      </c>
      <c r="O175" t="s">
        <v>27</v>
      </c>
      <c r="P175" t="str">
        <f>IF(I175&gt;H175,"Late","On Time")</f>
        <v>On Time</v>
      </c>
      <c r="Q175">
        <f>MAX(0,I175-H175)</f>
        <v>0</v>
      </c>
      <c r="R175" t="str">
        <f t="shared" si="8"/>
        <v>High</v>
      </c>
      <c r="S175" t="str">
        <f t="shared" si="9"/>
        <v>Completed</v>
      </c>
      <c r="T175">
        <f t="shared" si="10"/>
        <v>294.95</v>
      </c>
      <c r="U175">
        <f t="shared" si="11"/>
        <v>0</v>
      </c>
    </row>
    <row r="176" spans="1:21">
      <c r="A176" t="s">
        <v>213</v>
      </c>
      <c r="B176" s="2">
        <v>46271</v>
      </c>
      <c r="C176" t="s">
        <v>55</v>
      </c>
      <c r="D176" t="s">
        <v>25</v>
      </c>
      <c r="E176">
        <v>39</v>
      </c>
      <c r="F176" s="3">
        <v>807</v>
      </c>
      <c r="G176" s="4">
        <v>25</v>
      </c>
      <c r="H176">
        <v>3</v>
      </c>
      <c r="I176">
        <v>3</v>
      </c>
      <c r="J176" t="s">
        <v>39</v>
      </c>
      <c r="K176">
        <v>5</v>
      </c>
      <c r="L176" t="s">
        <v>21</v>
      </c>
      <c r="M176" t="s">
        <v>21</v>
      </c>
      <c r="N176" s="5">
        <v>5.0999999999999996</v>
      </c>
      <c r="O176" t="s">
        <v>27</v>
      </c>
      <c r="P176" t="str">
        <f>IF(I176&gt;H176,"Late","On Time")</f>
        <v>On Time</v>
      </c>
      <c r="Q176">
        <f>MAX(0,I176-H176)</f>
        <v>0</v>
      </c>
      <c r="R176" t="str">
        <f t="shared" si="8"/>
        <v>High</v>
      </c>
      <c r="S176" t="str">
        <f t="shared" si="9"/>
        <v>Completed</v>
      </c>
      <c r="T176">
        <f t="shared" si="10"/>
        <v>605.25</v>
      </c>
      <c r="U176">
        <f t="shared" si="11"/>
        <v>0</v>
      </c>
    </row>
    <row r="177" spans="1:21">
      <c r="A177" t="s">
        <v>214</v>
      </c>
      <c r="B177" s="2">
        <v>46280</v>
      </c>
      <c r="C177" t="s">
        <v>24</v>
      </c>
      <c r="D177" t="s">
        <v>29</v>
      </c>
      <c r="E177">
        <v>42</v>
      </c>
      <c r="F177" s="3">
        <v>2150</v>
      </c>
      <c r="G177" s="4">
        <v>10</v>
      </c>
      <c r="H177">
        <v>3</v>
      </c>
      <c r="I177">
        <v>3</v>
      </c>
      <c r="J177" t="s">
        <v>39</v>
      </c>
      <c r="K177">
        <v>5</v>
      </c>
      <c r="L177" t="s">
        <v>21</v>
      </c>
      <c r="M177" t="s">
        <v>21</v>
      </c>
      <c r="N177" s="5">
        <v>11.2</v>
      </c>
      <c r="O177" t="s">
        <v>22</v>
      </c>
      <c r="P177" t="str">
        <f>IF(I177&gt;H177,"Late","On Time")</f>
        <v>On Time</v>
      </c>
      <c r="Q177">
        <f>MAX(0,I177-H177)</f>
        <v>0</v>
      </c>
      <c r="R177" t="str">
        <f t="shared" si="8"/>
        <v>High</v>
      </c>
      <c r="S177" t="str">
        <f t="shared" si="9"/>
        <v>Completed</v>
      </c>
      <c r="T177">
        <f t="shared" si="10"/>
        <v>1935</v>
      </c>
      <c r="U177">
        <f t="shared" si="11"/>
        <v>0</v>
      </c>
    </row>
    <row r="178" spans="1:21">
      <c r="A178" t="s">
        <v>215</v>
      </c>
      <c r="B178" s="2">
        <v>46265</v>
      </c>
      <c r="C178" t="s">
        <v>24</v>
      </c>
      <c r="D178" t="s">
        <v>25</v>
      </c>
      <c r="E178">
        <v>36</v>
      </c>
      <c r="F178" s="3">
        <v>1966</v>
      </c>
      <c r="G178" s="4">
        <v>15</v>
      </c>
      <c r="H178">
        <v>3</v>
      </c>
      <c r="I178">
        <v>3</v>
      </c>
      <c r="J178" t="s">
        <v>20</v>
      </c>
      <c r="K178">
        <v>5</v>
      </c>
      <c r="L178" t="s">
        <v>21</v>
      </c>
      <c r="M178" t="s">
        <v>21</v>
      </c>
      <c r="N178" s="5">
        <v>5.2</v>
      </c>
      <c r="O178" t="s">
        <v>27</v>
      </c>
      <c r="P178" t="str">
        <f>IF(I178&gt;H178,"Late","On Time")</f>
        <v>On Time</v>
      </c>
      <c r="Q178">
        <f>MAX(0,I178-H178)</f>
        <v>0</v>
      </c>
      <c r="R178" t="str">
        <f t="shared" si="8"/>
        <v>High</v>
      </c>
      <c r="S178" t="str">
        <f t="shared" si="9"/>
        <v>Completed</v>
      </c>
      <c r="T178">
        <f t="shared" si="10"/>
        <v>1671.1</v>
      </c>
      <c r="U178">
        <f t="shared" si="11"/>
        <v>0</v>
      </c>
    </row>
    <row r="179" spans="1:21">
      <c r="A179" t="s">
        <v>216</v>
      </c>
      <c r="B179" s="2">
        <v>46250</v>
      </c>
      <c r="C179" t="s">
        <v>55</v>
      </c>
      <c r="D179" t="s">
        <v>25</v>
      </c>
      <c r="E179">
        <v>52</v>
      </c>
      <c r="F179" s="3">
        <v>1201</v>
      </c>
      <c r="G179" s="4">
        <v>20</v>
      </c>
      <c r="H179">
        <v>2</v>
      </c>
      <c r="I179">
        <v>2</v>
      </c>
      <c r="J179" t="s">
        <v>26</v>
      </c>
      <c r="K179">
        <v>5</v>
      </c>
      <c r="L179" t="s">
        <v>21</v>
      </c>
      <c r="M179" t="s">
        <v>21</v>
      </c>
      <c r="N179" s="5">
        <v>15.9</v>
      </c>
      <c r="O179" t="s">
        <v>59</v>
      </c>
      <c r="P179" t="str">
        <f>IF(I179&gt;H179,"Late","On Time")</f>
        <v>On Time</v>
      </c>
      <c r="Q179">
        <f>MAX(0,I179-H179)</f>
        <v>0</v>
      </c>
      <c r="R179" t="str">
        <f t="shared" si="8"/>
        <v>High</v>
      </c>
      <c r="S179" t="str">
        <f t="shared" si="9"/>
        <v>Completed</v>
      </c>
      <c r="T179">
        <f t="shared" si="10"/>
        <v>960.80000000000007</v>
      </c>
      <c r="U179">
        <f t="shared" si="11"/>
        <v>0</v>
      </c>
    </row>
    <row r="180" spans="1:21">
      <c r="A180" t="s">
        <v>217</v>
      </c>
      <c r="B180" s="2">
        <v>46272</v>
      </c>
      <c r="C180" t="s">
        <v>35</v>
      </c>
      <c r="D180" t="s">
        <v>36</v>
      </c>
      <c r="E180">
        <v>20</v>
      </c>
      <c r="F180" s="3">
        <v>435</v>
      </c>
      <c r="G180" s="4">
        <v>25</v>
      </c>
      <c r="H180">
        <v>2</v>
      </c>
      <c r="I180">
        <v>2</v>
      </c>
      <c r="J180" t="s">
        <v>20</v>
      </c>
      <c r="K180">
        <v>4</v>
      </c>
      <c r="L180" t="s">
        <v>21</v>
      </c>
      <c r="M180" t="s">
        <v>21</v>
      </c>
      <c r="N180" s="5">
        <v>27.1</v>
      </c>
      <c r="O180" t="s">
        <v>22</v>
      </c>
      <c r="P180" t="str">
        <f>IF(I180&gt;H180,"Late","On Time")</f>
        <v>On Time</v>
      </c>
      <c r="Q180">
        <f>MAX(0,I180-H180)</f>
        <v>0</v>
      </c>
      <c r="R180" t="str">
        <f t="shared" si="8"/>
        <v>High</v>
      </c>
      <c r="S180" t="str">
        <f t="shared" si="9"/>
        <v>Completed</v>
      </c>
      <c r="T180">
        <f t="shared" si="10"/>
        <v>326.25</v>
      </c>
      <c r="U180">
        <f t="shared" si="11"/>
        <v>0</v>
      </c>
    </row>
    <row r="181" spans="1:21">
      <c r="A181" t="s">
        <v>218</v>
      </c>
      <c r="B181" s="2">
        <v>46242</v>
      </c>
      <c r="C181" t="s">
        <v>55</v>
      </c>
      <c r="D181" t="s">
        <v>36</v>
      </c>
      <c r="E181">
        <v>46</v>
      </c>
      <c r="F181" s="3">
        <v>1065</v>
      </c>
      <c r="G181" s="4">
        <v>10</v>
      </c>
      <c r="H181">
        <v>2</v>
      </c>
      <c r="I181">
        <v>3</v>
      </c>
      <c r="J181" t="s">
        <v>26</v>
      </c>
      <c r="K181">
        <v>3</v>
      </c>
      <c r="L181" t="s">
        <v>21</v>
      </c>
      <c r="M181" t="s">
        <v>21</v>
      </c>
      <c r="N181" s="5">
        <v>13.8</v>
      </c>
      <c r="O181" t="s">
        <v>27</v>
      </c>
      <c r="P181" t="str">
        <f>IF(I181&gt;H181,"Late","On Time")</f>
        <v>Late</v>
      </c>
      <c r="Q181">
        <f>MAX(0,I181-H181)</f>
        <v>1</v>
      </c>
      <c r="R181" t="str">
        <f t="shared" si="8"/>
        <v>Medium</v>
      </c>
      <c r="S181" t="str">
        <f t="shared" si="9"/>
        <v>Completed</v>
      </c>
      <c r="T181">
        <f t="shared" si="10"/>
        <v>958.5</v>
      </c>
      <c r="U181">
        <f t="shared" si="11"/>
        <v>1</v>
      </c>
    </row>
    <row r="182" spans="1:21">
      <c r="A182" t="s">
        <v>219</v>
      </c>
      <c r="B182" s="2">
        <v>46276</v>
      </c>
      <c r="C182" t="s">
        <v>24</v>
      </c>
      <c r="D182" t="s">
        <v>29</v>
      </c>
      <c r="E182">
        <v>37</v>
      </c>
      <c r="F182" s="3">
        <v>929</v>
      </c>
      <c r="G182" s="4">
        <v>20</v>
      </c>
      <c r="H182">
        <v>3</v>
      </c>
      <c r="I182">
        <v>6</v>
      </c>
      <c r="J182" t="s">
        <v>30</v>
      </c>
      <c r="K182">
        <v>2</v>
      </c>
      <c r="L182" t="s">
        <v>21</v>
      </c>
      <c r="M182" t="s">
        <v>21</v>
      </c>
      <c r="N182" s="5">
        <v>10.7</v>
      </c>
      <c r="O182" t="s">
        <v>27</v>
      </c>
      <c r="P182" t="str">
        <f>IF(I182&gt;H182,"Late","On Time")</f>
        <v>Late</v>
      </c>
      <c r="Q182">
        <f>MAX(0,I182-H182)</f>
        <v>3</v>
      </c>
      <c r="R182" t="str">
        <f t="shared" si="8"/>
        <v>Low</v>
      </c>
      <c r="S182" t="str">
        <f t="shared" si="9"/>
        <v>Completed</v>
      </c>
      <c r="T182">
        <f t="shared" si="10"/>
        <v>743.2</v>
      </c>
      <c r="U182">
        <f t="shared" si="11"/>
        <v>1</v>
      </c>
    </row>
    <row r="183" spans="1:21">
      <c r="A183" t="s">
        <v>220</v>
      </c>
      <c r="B183" s="2">
        <v>46246</v>
      </c>
      <c r="C183" t="s">
        <v>18</v>
      </c>
      <c r="D183" t="s">
        <v>32</v>
      </c>
      <c r="E183">
        <v>28</v>
      </c>
      <c r="F183" s="3">
        <v>7851</v>
      </c>
      <c r="G183" s="4">
        <v>25</v>
      </c>
      <c r="H183">
        <v>3</v>
      </c>
      <c r="I183">
        <v>3</v>
      </c>
      <c r="J183" t="s">
        <v>33</v>
      </c>
      <c r="K183">
        <v>5</v>
      </c>
      <c r="L183" t="s">
        <v>21</v>
      </c>
      <c r="M183" t="s">
        <v>21</v>
      </c>
      <c r="N183" s="5">
        <v>15.2</v>
      </c>
      <c r="O183" t="s">
        <v>27</v>
      </c>
      <c r="P183" t="str">
        <f>IF(I183&gt;H183,"Late","On Time")</f>
        <v>On Time</v>
      </c>
      <c r="Q183">
        <f>MAX(0,I183-H183)</f>
        <v>0</v>
      </c>
      <c r="R183" t="str">
        <f t="shared" si="8"/>
        <v>High</v>
      </c>
      <c r="S183" t="str">
        <f t="shared" si="9"/>
        <v>Completed</v>
      </c>
      <c r="T183">
        <f t="shared" si="10"/>
        <v>5888.25</v>
      </c>
      <c r="U183">
        <f t="shared" si="11"/>
        <v>0</v>
      </c>
    </row>
    <row r="184" spans="1:21">
      <c r="A184" t="s">
        <v>221</v>
      </c>
      <c r="B184" s="2">
        <v>46269</v>
      </c>
      <c r="C184" t="s">
        <v>41</v>
      </c>
      <c r="D184" t="s">
        <v>25</v>
      </c>
      <c r="E184">
        <v>19</v>
      </c>
      <c r="F184" s="3">
        <v>2403</v>
      </c>
      <c r="G184" s="4">
        <v>15</v>
      </c>
      <c r="H184">
        <v>4</v>
      </c>
      <c r="I184">
        <v>5</v>
      </c>
      <c r="J184" t="s">
        <v>26</v>
      </c>
      <c r="K184">
        <v>3</v>
      </c>
      <c r="L184" t="s">
        <v>21</v>
      </c>
      <c r="M184" t="s">
        <v>21</v>
      </c>
      <c r="N184" s="5">
        <v>12.9</v>
      </c>
      <c r="O184" t="s">
        <v>27</v>
      </c>
      <c r="P184" t="str">
        <f>IF(I184&gt;H184,"Late","On Time")</f>
        <v>Late</v>
      </c>
      <c r="Q184">
        <f>MAX(0,I184-H184)</f>
        <v>1</v>
      </c>
      <c r="R184" t="str">
        <f t="shared" si="8"/>
        <v>Medium</v>
      </c>
      <c r="S184" t="str">
        <f t="shared" si="9"/>
        <v>Completed</v>
      </c>
      <c r="T184">
        <f t="shared" si="10"/>
        <v>2042.55</v>
      </c>
      <c r="U184">
        <f t="shared" si="11"/>
        <v>1</v>
      </c>
    </row>
    <row r="185" spans="1:21">
      <c r="A185" t="s">
        <v>222</v>
      </c>
      <c r="B185" s="2">
        <v>46242</v>
      </c>
      <c r="C185" t="s">
        <v>24</v>
      </c>
      <c r="D185" t="s">
        <v>29</v>
      </c>
      <c r="E185">
        <v>38</v>
      </c>
      <c r="F185" s="3">
        <v>250</v>
      </c>
      <c r="G185" s="4">
        <v>5</v>
      </c>
      <c r="H185">
        <v>3</v>
      </c>
      <c r="I185">
        <v>3</v>
      </c>
      <c r="J185" t="s">
        <v>20</v>
      </c>
      <c r="K185">
        <v>5</v>
      </c>
      <c r="L185" t="s">
        <v>21</v>
      </c>
      <c r="M185" t="s">
        <v>21</v>
      </c>
      <c r="N185" s="5">
        <v>4.5</v>
      </c>
      <c r="O185" t="s">
        <v>22</v>
      </c>
      <c r="P185" t="str">
        <f>IF(I185&gt;H185,"Late","On Time")</f>
        <v>On Time</v>
      </c>
      <c r="Q185">
        <f>MAX(0,I185-H185)</f>
        <v>0</v>
      </c>
      <c r="R185" t="str">
        <f t="shared" si="8"/>
        <v>High</v>
      </c>
      <c r="S185" t="str">
        <f t="shared" si="9"/>
        <v>Completed</v>
      </c>
      <c r="T185">
        <f t="shared" si="10"/>
        <v>237.5</v>
      </c>
      <c r="U185">
        <f t="shared" si="11"/>
        <v>0</v>
      </c>
    </row>
    <row r="186" spans="1:21">
      <c r="A186" t="s">
        <v>223</v>
      </c>
      <c r="B186" s="2">
        <v>46267</v>
      </c>
      <c r="C186" t="s">
        <v>35</v>
      </c>
      <c r="D186" t="s">
        <v>29</v>
      </c>
      <c r="E186">
        <v>47</v>
      </c>
      <c r="F186" s="3">
        <v>425</v>
      </c>
      <c r="G186" s="4">
        <v>25</v>
      </c>
      <c r="H186">
        <v>2</v>
      </c>
      <c r="I186">
        <v>2</v>
      </c>
      <c r="J186" t="s">
        <v>33</v>
      </c>
      <c r="K186">
        <v>4</v>
      </c>
      <c r="L186" t="s">
        <v>21</v>
      </c>
      <c r="M186" t="s">
        <v>21</v>
      </c>
      <c r="N186" s="5">
        <v>25.8</v>
      </c>
      <c r="O186" t="s">
        <v>27</v>
      </c>
      <c r="P186" t="str">
        <f>IF(I186&gt;H186,"Late","On Time")</f>
        <v>On Time</v>
      </c>
      <c r="Q186">
        <f>MAX(0,I186-H186)</f>
        <v>0</v>
      </c>
      <c r="R186" t="str">
        <f t="shared" si="8"/>
        <v>High</v>
      </c>
      <c r="S186" t="str">
        <f t="shared" si="9"/>
        <v>Completed</v>
      </c>
      <c r="T186">
        <f t="shared" si="10"/>
        <v>318.75</v>
      </c>
      <c r="U186">
        <f t="shared" si="11"/>
        <v>0</v>
      </c>
    </row>
    <row r="187" spans="1:21">
      <c r="A187" t="s">
        <v>224</v>
      </c>
      <c r="B187" s="2">
        <v>46253</v>
      </c>
      <c r="C187" t="s">
        <v>41</v>
      </c>
      <c r="D187" t="s">
        <v>25</v>
      </c>
      <c r="E187">
        <v>26</v>
      </c>
      <c r="F187" s="3">
        <v>1120</v>
      </c>
      <c r="G187" s="4">
        <v>20</v>
      </c>
      <c r="H187">
        <v>3</v>
      </c>
      <c r="I187">
        <v>4</v>
      </c>
      <c r="J187" t="s">
        <v>39</v>
      </c>
      <c r="K187">
        <v>4</v>
      </c>
      <c r="L187" t="s">
        <v>21</v>
      </c>
      <c r="M187" t="s">
        <v>21</v>
      </c>
      <c r="N187" s="5">
        <v>12.7</v>
      </c>
      <c r="O187" t="s">
        <v>22</v>
      </c>
      <c r="P187" t="str">
        <f>IF(I187&gt;H187,"Late","On Time")</f>
        <v>Late</v>
      </c>
      <c r="Q187">
        <f>MAX(0,I187-H187)</f>
        <v>1</v>
      </c>
      <c r="R187" t="str">
        <f t="shared" si="8"/>
        <v>High</v>
      </c>
      <c r="S187" t="str">
        <f t="shared" si="9"/>
        <v>Completed</v>
      </c>
      <c r="T187">
        <f t="shared" si="10"/>
        <v>896</v>
      </c>
      <c r="U187">
        <f t="shared" si="11"/>
        <v>1</v>
      </c>
    </row>
    <row r="188" spans="1:21">
      <c r="A188" t="s">
        <v>225</v>
      </c>
      <c r="B188" s="2">
        <v>46280</v>
      </c>
      <c r="C188" t="s">
        <v>24</v>
      </c>
      <c r="D188" t="s">
        <v>36</v>
      </c>
      <c r="E188">
        <v>38</v>
      </c>
      <c r="F188" s="3">
        <v>2483</v>
      </c>
      <c r="G188" s="4">
        <v>10</v>
      </c>
      <c r="H188">
        <v>2</v>
      </c>
      <c r="I188">
        <v>2</v>
      </c>
      <c r="J188" t="s">
        <v>39</v>
      </c>
      <c r="K188">
        <v>5</v>
      </c>
      <c r="L188" t="s">
        <v>21</v>
      </c>
      <c r="M188" t="s">
        <v>21</v>
      </c>
      <c r="N188" s="5">
        <v>14.3</v>
      </c>
      <c r="O188" t="s">
        <v>22</v>
      </c>
      <c r="P188" t="str">
        <f>IF(I188&gt;H188,"Late","On Time")</f>
        <v>On Time</v>
      </c>
      <c r="Q188">
        <f>MAX(0,I188-H188)</f>
        <v>0</v>
      </c>
      <c r="R188" t="str">
        <f t="shared" si="8"/>
        <v>High</v>
      </c>
      <c r="S188" t="str">
        <f t="shared" si="9"/>
        <v>Completed</v>
      </c>
      <c r="T188">
        <f t="shared" si="10"/>
        <v>2234.7000000000003</v>
      </c>
      <c r="U188">
        <f t="shared" si="11"/>
        <v>0</v>
      </c>
    </row>
    <row r="189" spans="1:21">
      <c r="A189" t="s">
        <v>226</v>
      </c>
      <c r="B189" s="2">
        <v>46282</v>
      </c>
      <c r="C189" t="s">
        <v>41</v>
      </c>
      <c r="D189" t="s">
        <v>25</v>
      </c>
      <c r="E189">
        <v>28</v>
      </c>
      <c r="F189" s="3">
        <v>1202</v>
      </c>
      <c r="G189" s="4">
        <v>0</v>
      </c>
      <c r="H189">
        <v>4</v>
      </c>
      <c r="I189">
        <v>4</v>
      </c>
      <c r="J189" t="s">
        <v>20</v>
      </c>
      <c r="K189">
        <v>4</v>
      </c>
      <c r="L189" t="s">
        <v>21</v>
      </c>
      <c r="M189" t="s">
        <v>21</v>
      </c>
      <c r="N189" s="5">
        <v>2.2999999999999998</v>
      </c>
      <c r="O189" t="s">
        <v>22</v>
      </c>
      <c r="P189" t="str">
        <f>IF(I189&gt;H189,"Late","On Time")</f>
        <v>On Time</v>
      </c>
      <c r="Q189">
        <f>MAX(0,I189-H189)</f>
        <v>0</v>
      </c>
      <c r="R189" t="str">
        <f t="shared" si="8"/>
        <v>High</v>
      </c>
      <c r="S189" t="str">
        <f t="shared" si="9"/>
        <v>Completed</v>
      </c>
      <c r="T189">
        <f t="shared" si="10"/>
        <v>1202</v>
      </c>
      <c r="U189">
        <f t="shared" si="11"/>
        <v>0</v>
      </c>
    </row>
    <row r="190" spans="1:21">
      <c r="A190" t="s">
        <v>227</v>
      </c>
      <c r="B190" s="2">
        <v>46254</v>
      </c>
      <c r="C190" t="s">
        <v>41</v>
      </c>
      <c r="D190" t="s">
        <v>47</v>
      </c>
      <c r="E190">
        <v>50</v>
      </c>
      <c r="F190" s="3">
        <v>3047</v>
      </c>
      <c r="G190" s="4">
        <v>20</v>
      </c>
      <c r="H190">
        <v>3</v>
      </c>
      <c r="I190">
        <v>3</v>
      </c>
      <c r="J190" t="s">
        <v>33</v>
      </c>
      <c r="K190">
        <v>5</v>
      </c>
      <c r="L190" t="s">
        <v>21</v>
      </c>
      <c r="M190" t="s">
        <v>21</v>
      </c>
      <c r="N190" s="5">
        <v>15.9</v>
      </c>
      <c r="O190" t="s">
        <v>22</v>
      </c>
      <c r="P190" t="str">
        <f>IF(I190&gt;H190,"Late","On Time")</f>
        <v>On Time</v>
      </c>
      <c r="Q190">
        <f>MAX(0,I190-H190)</f>
        <v>0</v>
      </c>
      <c r="R190" t="str">
        <f t="shared" si="8"/>
        <v>High</v>
      </c>
      <c r="S190" t="str">
        <f t="shared" si="9"/>
        <v>Completed</v>
      </c>
      <c r="T190">
        <f t="shared" si="10"/>
        <v>2437.6</v>
      </c>
      <c r="U190">
        <f t="shared" si="11"/>
        <v>0</v>
      </c>
    </row>
    <row r="191" spans="1:21">
      <c r="A191" t="s">
        <v>228</v>
      </c>
      <c r="B191" s="2">
        <v>46275</v>
      </c>
      <c r="C191" t="s">
        <v>18</v>
      </c>
      <c r="D191" t="s">
        <v>25</v>
      </c>
      <c r="E191">
        <v>34</v>
      </c>
      <c r="F191" s="3">
        <v>5003</v>
      </c>
      <c r="G191" s="4">
        <v>10</v>
      </c>
      <c r="H191">
        <v>2</v>
      </c>
      <c r="I191">
        <v>2</v>
      </c>
      <c r="J191" t="s">
        <v>20</v>
      </c>
      <c r="K191">
        <v>4</v>
      </c>
      <c r="L191" t="s">
        <v>21</v>
      </c>
      <c r="M191" t="s">
        <v>21</v>
      </c>
      <c r="N191" s="5">
        <v>13.1</v>
      </c>
      <c r="O191" t="s">
        <v>22</v>
      </c>
      <c r="P191" t="str">
        <f>IF(I191&gt;H191,"Late","On Time")</f>
        <v>On Time</v>
      </c>
      <c r="Q191">
        <f>MAX(0,I191-H191)</f>
        <v>0</v>
      </c>
      <c r="R191" t="str">
        <f t="shared" si="8"/>
        <v>High</v>
      </c>
      <c r="S191" t="str">
        <f t="shared" si="9"/>
        <v>Completed</v>
      </c>
      <c r="T191">
        <f t="shared" si="10"/>
        <v>4502.7</v>
      </c>
      <c r="U191">
        <f t="shared" si="11"/>
        <v>0</v>
      </c>
    </row>
    <row r="192" spans="1:21">
      <c r="A192" t="s">
        <v>229</v>
      </c>
      <c r="B192" s="2">
        <v>46278</v>
      </c>
      <c r="C192" t="s">
        <v>41</v>
      </c>
      <c r="D192" t="s">
        <v>36</v>
      </c>
      <c r="E192">
        <v>26</v>
      </c>
      <c r="F192" s="3">
        <v>3077</v>
      </c>
      <c r="G192" s="4">
        <v>0</v>
      </c>
      <c r="H192">
        <v>4</v>
      </c>
      <c r="I192">
        <v>5</v>
      </c>
      <c r="J192" t="s">
        <v>20</v>
      </c>
      <c r="K192">
        <v>3</v>
      </c>
      <c r="L192" t="s">
        <v>21</v>
      </c>
      <c r="M192" t="s">
        <v>21</v>
      </c>
      <c r="N192" s="5">
        <v>10.8</v>
      </c>
      <c r="O192" t="s">
        <v>22</v>
      </c>
      <c r="P192" t="str">
        <f>IF(I192&gt;H192,"Late","On Time")</f>
        <v>Late</v>
      </c>
      <c r="Q192">
        <f>MAX(0,I192-H192)</f>
        <v>1</v>
      </c>
      <c r="R192" t="str">
        <f t="shared" si="8"/>
        <v>Medium</v>
      </c>
      <c r="S192" t="str">
        <f t="shared" si="9"/>
        <v>Completed</v>
      </c>
      <c r="T192">
        <f t="shared" si="10"/>
        <v>3077</v>
      </c>
      <c r="U192">
        <f t="shared" si="11"/>
        <v>1</v>
      </c>
    </row>
    <row r="193" spans="1:21">
      <c r="A193" t="s">
        <v>230</v>
      </c>
      <c r="B193" s="2">
        <v>46266</v>
      </c>
      <c r="C193" t="s">
        <v>18</v>
      </c>
      <c r="D193" t="s">
        <v>36</v>
      </c>
      <c r="E193">
        <v>44</v>
      </c>
      <c r="F193" s="3">
        <v>250</v>
      </c>
      <c r="G193" s="4">
        <v>0</v>
      </c>
      <c r="H193">
        <v>3</v>
      </c>
      <c r="I193">
        <v>4</v>
      </c>
      <c r="J193" t="s">
        <v>39</v>
      </c>
      <c r="K193">
        <v>3</v>
      </c>
      <c r="L193" t="s">
        <v>21</v>
      </c>
      <c r="M193" t="s">
        <v>21</v>
      </c>
      <c r="N193" s="5">
        <v>24.5</v>
      </c>
      <c r="O193" t="s">
        <v>22</v>
      </c>
      <c r="P193" t="str">
        <f>IF(I193&gt;H193,"Late","On Time")</f>
        <v>Late</v>
      </c>
      <c r="Q193">
        <f>MAX(0,I193-H193)</f>
        <v>1</v>
      </c>
      <c r="R193" t="str">
        <f t="shared" si="8"/>
        <v>Medium</v>
      </c>
      <c r="S193" t="str">
        <f t="shared" si="9"/>
        <v>Completed</v>
      </c>
      <c r="T193">
        <f t="shared" si="10"/>
        <v>250</v>
      </c>
      <c r="U193">
        <f t="shared" si="11"/>
        <v>1</v>
      </c>
    </row>
    <row r="194" spans="1:21">
      <c r="A194" t="s">
        <v>231</v>
      </c>
      <c r="B194" s="2">
        <v>46281</v>
      </c>
      <c r="C194" t="s">
        <v>24</v>
      </c>
      <c r="D194" t="s">
        <v>47</v>
      </c>
      <c r="E194">
        <v>35</v>
      </c>
      <c r="F194" s="3">
        <v>1193</v>
      </c>
      <c r="G194" s="4">
        <v>0</v>
      </c>
      <c r="H194">
        <v>2</v>
      </c>
      <c r="I194">
        <v>2</v>
      </c>
      <c r="J194" t="s">
        <v>26</v>
      </c>
      <c r="K194">
        <v>4</v>
      </c>
      <c r="L194" t="s">
        <v>21</v>
      </c>
      <c r="M194" t="s">
        <v>21</v>
      </c>
      <c r="N194" s="5">
        <v>12.2</v>
      </c>
      <c r="O194" t="s">
        <v>22</v>
      </c>
      <c r="P194" t="str">
        <f>IF(I194&gt;H194,"Late","On Time")</f>
        <v>On Time</v>
      </c>
      <c r="Q194">
        <f>MAX(0,I194-H194)</f>
        <v>0</v>
      </c>
      <c r="R194" t="str">
        <f t="shared" ref="R194:R257" si="12">IF(K194&gt;=4,"High",IF(K194=3,"Medium","Low"))</f>
        <v>High</v>
      </c>
      <c r="S194" t="str">
        <f t="shared" ref="S194:S257" si="13">IF(L194="Yes","Cancelled",IF(M194="Yes","Returned","Completed"))</f>
        <v>Completed</v>
      </c>
      <c r="T194">
        <f t="shared" ref="T194:T257" si="14">F194*(1-G194/100)</f>
        <v>1193</v>
      </c>
      <c r="U194">
        <f t="shared" ref="U194:U257" si="15">IF(P194="Late",1,0)</f>
        <v>0</v>
      </c>
    </row>
    <row r="195" spans="1:21">
      <c r="A195" t="s">
        <v>232</v>
      </c>
      <c r="B195" s="2">
        <v>46271</v>
      </c>
      <c r="C195" t="s">
        <v>41</v>
      </c>
      <c r="D195" t="s">
        <v>32</v>
      </c>
      <c r="E195">
        <v>40</v>
      </c>
      <c r="F195" s="3">
        <v>1762</v>
      </c>
      <c r="G195" s="4">
        <v>0</v>
      </c>
      <c r="H195">
        <v>4</v>
      </c>
      <c r="I195">
        <v>4</v>
      </c>
      <c r="J195" t="s">
        <v>33</v>
      </c>
      <c r="K195">
        <v>5</v>
      </c>
      <c r="L195" t="s">
        <v>21</v>
      </c>
      <c r="M195" t="s">
        <v>21</v>
      </c>
      <c r="N195" s="5">
        <v>12</v>
      </c>
      <c r="O195" t="s">
        <v>22</v>
      </c>
      <c r="P195" t="str">
        <f>IF(I195&gt;H195,"Late","On Time")</f>
        <v>On Time</v>
      </c>
      <c r="Q195">
        <f>MAX(0,I195-H195)</f>
        <v>0</v>
      </c>
      <c r="R195" t="str">
        <f t="shared" si="12"/>
        <v>High</v>
      </c>
      <c r="S195" t="str">
        <f t="shared" si="13"/>
        <v>Completed</v>
      </c>
      <c r="T195">
        <f t="shared" si="14"/>
        <v>1762</v>
      </c>
      <c r="U195">
        <f t="shared" si="15"/>
        <v>0</v>
      </c>
    </row>
    <row r="196" spans="1:21">
      <c r="A196" t="s">
        <v>233</v>
      </c>
      <c r="B196" s="2">
        <v>46247</v>
      </c>
      <c r="C196" t="s">
        <v>41</v>
      </c>
      <c r="D196" t="s">
        <v>38</v>
      </c>
      <c r="E196">
        <v>39</v>
      </c>
      <c r="F196" s="3">
        <v>4200</v>
      </c>
      <c r="G196" s="4">
        <v>0</v>
      </c>
      <c r="H196">
        <v>2</v>
      </c>
      <c r="I196">
        <v>1</v>
      </c>
      <c r="J196" t="s">
        <v>39</v>
      </c>
      <c r="K196">
        <v>4</v>
      </c>
      <c r="L196" t="s">
        <v>21</v>
      </c>
      <c r="M196" t="s">
        <v>21</v>
      </c>
      <c r="N196" s="5">
        <v>18.100000000000001</v>
      </c>
      <c r="O196" t="s">
        <v>27</v>
      </c>
      <c r="P196" t="str">
        <f>IF(I196&gt;H196,"Late","On Time")</f>
        <v>On Time</v>
      </c>
      <c r="Q196">
        <f>MAX(0,I196-H196)</f>
        <v>0</v>
      </c>
      <c r="R196" t="str">
        <f t="shared" si="12"/>
        <v>High</v>
      </c>
      <c r="S196" t="str">
        <f t="shared" si="13"/>
        <v>Completed</v>
      </c>
      <c r="T196">
        <f t="shared" si="14"/>
        <v>4200</v>
      </c>
      <c r="U196">
        <f t="shared" si="15"/>
        <v>0</v>
      </c>
    </row>
    <row r="197" spans="1:21">
      <c r="A197" t="s">
        <v>234</v>
      </c>
      <c r="B197" s="2">
        <v>46281</v>
      </c>
      <c r="C197" t="s">
        <v>24</v>
      </c>
      <c r="D197" t="s">
        <v>32</v>
      </c>
      <c r="E197">
        <v>37</v>
      </c>
      <c r="F197" s="3">
        <v>858</v>
      </c>
      <c r="G197" s="4">
        <v>5</v>
      </c>
      <c r="H197">
        <v>3</v>
      </c>
      <c r="I197">
        <v>2</v>
      </c>
      <c r="J197" t="s">
        <v>30</v>
      </c>
      <c r="K197">
        <v>4</v>
      </c>
      <c r="L197" t="s">
        <v>21</v>
      </c>
      <c r="M197" t="s">
        <v>21</v>
      </c>
      <c r="N197" s="5">
        <v>4</v>
      </c>
      <c r="O197" t="s">
        <v>27</v>
      </c>
      <c r="P197" t="str">
        <f>IF(I197&gt;H197,"Late","On Time")</f>
        <v>On Time</v>
      </c>
      <c r="Q197">
        <f>MAX(0,I197-H197)</f>
        <v>0</v>
      </c>
      <c r="R197" t="str">
        <f t="shared" si="12"/>
        <v>High</v>
      </c>
      <c r="S197" t="str">
        <f t="shared" si="13"/>
        <v>Completed</v>
      </c>
      <c r="T197">
        <f t="shared" si="14"/>
        <v>815.09999999999991</v>
      </c>
      <c r="U197">
        <f t="shared" si="15"/>
        <v>0</v>
      </c>
    </row>
    <row r="198" spans="1:21">
      <c r="A198" t="s">
        <v>235</v>
      </c>
      <c r="B198" s="2">
        <v>46279</v>
      </c>
      <c r="C198" t="s">
        <v>24</v>
      </c>
      <c r="D198" t="s">
        <v>25</v>
      </c>
      <c r="E198">
        <v>23</v>
      </c>
      <c r="F198" s="3">
        <v>1787</v>
      </c>
      <c r="G198" s="4">
        <v>15</v>
      </c>
      <c r="H198">
        <v>2</v>
      </c>
      <c r="I198">
        <v>2</v>
      </c>
      <c r="J198" t="s">
        <v>39</v>
      </c>
      <c r="K198">
        <v>4</v>
      </c>
      <c r="L198" t="s">
        <v>21</v>
      </c>
      <c r="M198" t="s">
        <v>21</v>
      </c>
      <c r="N198" s="5">
        <v>5</v>
      </c>
      <c r="O198" t="s">
        <v>59</v>
      </c>
      <c r="P198" t="str">
        <f>IF(I198&gt;H198,"Late","On Time")</f>
        <v>On Time</v>
      </c>
      <c r="Q198">
        <f>MAX(0,I198-H198)</f>
        <v>0</v>
      </c>
      <c r="R198" t="str">
        <f t="shared" si="12"/>
        <v>High</v>
      </c>
      <c r="S198" t="str">
        <f t="shared" si="13"/>
        <v>Completed</v>
      </c>
      <c r="T198">
        <f t="shared" si="14"/>
        <v>1518.95</v>
      </c>
      <c r="U198">
        <f t="shared" si="15"/>
        <v>0</v>
      </c>
    </row>
    <row r="199" spans="1:21">
      <c r="A199" t="s">
        <v>236</v>
      </c>
      <c r="B199" s="2">
        <v>46276</v>
      </c>
      <c r="C199" t="s">
        <v>24</v>
      </c>
      <c r="D199" t="s">
        <v>25</v>
      </c>
      <c r="E199">
        <v>22</v>
      </c>
      <c r="F199" s="3">
        <v>1759</v>
      </c>
      <c r="G199" s="4">
        <v>5</v>
      </c>
      <c r="H199">
        <v>3</v>
      </c>
      <c r="I199">
        <v>2</v>
      </c>
      <c r="J199" t="s">
        <v>33</v>
      </c>
      <c r="K199">
        <v>4</v>
      </c>
      <c r="L199" t="s">
        <v>21</v>
      </c>
      <c r="M199" t="s">
        <v>21</v>
      </c>
      <c r="N199" s="5">
        <v>3.9</v>
      </c>
      <c r="O199" t="s">
        <v>22</v>
      </c>
      <c r="P199" t="str">
        <f>IF(I199&gt;H199,"Late","On Time")</f>
        <v>On Time</v>
      </c>
      <c r="Q199">
        <f>MAX(0,I199-H199)</f>
        <v>0</v>
      </c>
      <c r="R199" t="str">
        <f t="shared" si="12"/>
        <v>High</v>
      </c>
      <c r="S199" t="str">
        <f t="shared" si="13"/>
        <v>Completed</v>
      </c>
      <c r="T199">
        <f t="shared" si="14"/>
        <v>1671.05</v>
      </c>
      <c r="U199">
        <f t="shared" si="15"/>
        <v>0</v>
      </c>
    </row>
    <row r="200" spans="1:21">
      <c r="A200" t="s">
        <v>237</v>
      </c>
      <c r="B200" s="2">
        <v>46243</v>
      </c>
      <c r="C200" t="s">
        <v>24</v>
      </c>
      <c r="D200" t="s">
        <v>19</v>
      </c>
      <c r="E200">
        <v>51</v>
      </c>
      <c r="F200" s="3">
        <v>660</v>
      </c>
      <c r="G200" s="4">
        <v>5</v>
      </c>
      <c r="H200">
        <v>3</v>
      </c>
      <c r="I200">
        <v>3</v>
      </c>
      <c r="J200" t="s">
        <v>26</v>
      </c>
      <c r="K200">
        <v>5</v>
      </c>
      <c r="L200" t="s">
        <v>21</v>
      </c>
      <c r="M200" t="s">
        <v>21</v>
      </c>
      <c r="N200" s="5">
        <v>10.8</v>
      </c>
      <c r="O200" t="s">
        <v>27</v>
      </c>
      <c r="P200" t="str">
        <f>IF(I200&gt;H200,"Late","On Time")</f>
        <v>On Time</v>
      </c>
      <c r="Q200">
        <f>MAX(0,I200-H200)</f>
        <v>0</v>
      </c>
      <c r="R200" t="str">
        <f t="shared" si="12"/>
        <v>High</v>
      </c>
      <c r="S200" t="str">
        <f t="shared" si="13"/>
        <v>Completed</v>
      </c>
      <c r="T200">
        <f t="shared" si="14"/>
        <v>627</v>
      </c>
      <c r="U200">
        <f t="shared" si="15"/>
        <v>0</v>
      </c>
    </row>
    <row r="201" spans="1:21">
      <c r="A201" t="s">
        <v>238</v>
      </c>
      <c r="B201" s="2">
        <v>46279</v>
      </c>
      <c r="C201" t="s">
        <v>18</v>
      </c>
      <c r="D201" t="s">
        <v>47</v>
      </c>
      <c r="E201">
        <v>42</v>
      </c>
      <c r="F201" s="3">
        <v>2870</v>
      </c>
      <c r="G201" s="4">
        <v>10</v>
      </c>
      <c r="H201">
        <v>3</v>
      </c>
      <c r="I201">
        <v>5</v>
      </c>
      <c r="J201" t="s">
        <v>30</v>
      </c>
      <c r="K201">
        <v>3</v>
      </c>
      <c r="L201" t="s">
        <v>21</v>
      </c>
      <c r="M201" t="s">
        <v>21</v>
      </c>
      <c r="N201" s="5">
        <v>9.8000000000000007</v>
      </c>
      <c r="O201" t="s">
        <v>22</v>
      </c>
      <c r="P201" t="str">
        <f>IF(I201&gt;H201,"Late","On Time")</f>
        <v>Late</v>
      </c>
      <c r="Q201">
        <f>MAX(0,I201-H201)</f>
        <v>2</v>
      </c>
      <c r="R201" t="str">
        <f t="shared" si="12"/>
        <v>Medium</v>
      </c>
      <c r="S201" t="str">
        <f t="shared" si="13"/>
        <v>Completed</v>
      </c>
      <c r="T201">
        <f t="shared" si="14"/>
        <v>2583</v>
      </c>
      <c r="U201">
        <f t="shared" si="15"/>
        <v>1</v>
      </c>
    </row>
    <row r="202" spans="1:21">
      <c r="A202" t="s">
        <v>239</v>
      </c>
      <c r="B202" s="2">
        <v>46235</v>
      </c>
      <c r="C202" t="s">
        <v>18</v>
      </c>
      <c r="D202" t="s">
        <v>38</v>
      </c>
      <c r="E202">
        <v>37</v>
      </c>
      <c r="F202" s="3">
        <v>5143</v>
      </c>
      <c r="G202" s="4">
        <v>5</v>
      </c>
      <c r="H202">
        <v>3</v>
      </c>
      <c r="I202">
        <v>4</v>
      </c>
      <c r="J202" t="s">
        <v>20</v>
      </c>
      <c r="K202">
        <v>4</v>
      </c>
      <c r="L202" t="s">
        <v>21</v>
      </c>
      <c r="M202" t="s">
        <v>21</v>
      </c>
      <c r="N202" s="5">
        <v>9.3000000000000007</v>
      </c>
      <c r="O202" t="s">
        <v>22</v>
      </c>
      <c r="P202" t="str">
        <f>IF(I202&gt;H202,"Late","On Time")</f>
        <v>Late</v>
      </c>
      <c r="Q202">
        <f>MAX(0,I202-H202)</f>
        <v>1</v>
      </c>
      <c r="R202" t="str">
        <f t="shared" si="12"/>
        <v>High</v>
      </c>
      <c r="S202" t="str">
        <f t="shared" si="13"/>
        <v>Completed</v>
      </c>
      <c r="T202">
        <f t="shared" si="14"/>
        <v>4885.8499999999995</v>
      </c>
      <c r="U202">
        <f t="shared" si="15"/>
        <v>1</v>
      </c>
    </row>
    <row r="203" spans="1:21">
      <c r="A203" t="s">
        <v>240</v>
      </c>
      <c r="B203" s="2">
        <v>46235</v>
      </c>
      <c r="C203" t="s">
        <v>35</v>
      </c>
      <c r="D203" t="s">
        <v>29</v>
      </c>
      <c r="E203">
        <v>26</v>
      </c>
      <c r="F203" s="3">
        <v>1359</v>
      </c>
      <c r="G203" s="4">
        <v>15</v>
      </c>
      <c r="H203">
        <v>3</v>
      </c>
      <c r="I203">
        <v>3</v>
      </c>
      <c r="J203" t="s">
        <v>26</v>
      </c>
      <c r="K203">
        <v>5</v>
      </c>
      <c r="L203" t="s">
        <v>21</v>
      </c>
      <c r="M203" t="s">
        <v>21</v>
      </c>
      <c r="N203" s="5">
        <v>12.7</v>
      </c>
      <c r="O203" t="s">
        <v>27</v>
      </c>
      <c r="P203" t="str">
        <f>IF(I203&gt;H203,"Late","On Time")</f>
        <v>On Time</v>
      </c>
      <c r="Q203">
        <f>MAX(0,I203-H203)</f>
        <v>0</v>
      </c>
      <c r="R203" t="str">
        <f t="shared" si="12"/>
        <v>High</v>
      </c>
      <c r="S203" t="str">
        <f t="shared" si="13"/>
        <v>Completed</v>
      </c>
      <c r="T203">
        <f t="shared" si="14"/>
        <v>1155.1499999999999</v>
      </c>
      <c r="U203">
        <f t="shared" si="15"/>
        <v>0</v>
      </c>
    </row>
    <row r="204" spans="1:21">
      <c r="A204" t="s">
        <v>241</v>
      </c>
      <c r="B204" s="2">
        <v>46252</v>
      </c>
      <c r="C204" t="s">
        <v>35</v>
      </c>
      <c r="D204" t="s">
        <v>36</v>
      </c>
      <c r="E204">
        <v>20</v>
      </c>
      <c r="F204" s="3">
        <v>1654</v>
      </c>
      <c r="G204" s="4">
        <v>15</v>
      </c>
      <c r="H204">
        <v>3</v>
      </c>
      <c r="I204">
        <v>3</v>
      </c>
      <c r="J204" t="s">
        <v>33</v>
      </c>
      <c r="K204">
        <v>4</v>
      </c>
      <c r="L204" t="s">
        <v>21</v>
      </c>
      <c r="M204" t="s">
        <v>21</v>
      </c>
      <c r="N204" s="5">
        <v>9.1</v>
      </c>
      <c r="O204" t="s">
        <v>22</v>
      </c>
      <c r="P204" t="str">
        <f>IF(I204&gt;H204,"Late","On Time")</f>
        <v>On Time</v>
      </c>
      <c r="Q204">
        <f>MAX(0,I204-H204)</f>
        <v>0</v>
      </c>
      <c r="R204" t="str">
        <f t="shared" si="12"/>
        <v>High</v>
      </c>
      <c r="S204" t="str">
        <f t="shared" si="13"/>
        <v>Completed</v>
      </c>
      <c r="T204">
        <f t="shared" si="14"/>
        <v>1405.8999999999999</v>
      </c>
      <c r="U204">
        <f t="shared" si="15"/>
        <v>0</v>
      </c>
    </row>
    <row r="205" spans="1:21">
      <c r="A205" t="s">
        <v>242</v>
      </c>
      <c r="B205" s="2">
        <v>46254</v>
      </c>
      <c r="C205" t="s">
        <v>18</v>
      </c>
      <c r="D205" t="s">
        <v>29</v>
      </c>
      <c r="E205">
        <v>23</v>
      </c>
      <c r="F205" s="3">
        <v>1351</v>
      </c>
      <c r="G205" s="4">
        <v>20</v>
      </c>
      <c r="H205">
        <v>3</v>
      </c>
      <c r="I205">
        <v>5</v>
      </c>
      <c r="J205" t="s">
        <v>26</v>
      </c>
      <c r="K205">
        <v>3</v>
      </c>
      <c r="L205" t="s">
        <v>21</v>
      </c>
      <c r="M205" t="s">
        <v>21</v>
      </c>
      <c r="N205" s="5">
        <v>27.3</v>
      </c>
      <c r="O205" t="s">
        <v>22</v>
      </c>
      <c r="P205" t="str">
        <f>IF(I205&gt;H205,"Late","On Time")</f>
        <v>Late</v>
      </c>
      <c r="Q205">
        <f>MAX(0,I205-H205)</f>
        <v>2</v>
      </c>
      <c r="R205" t="str">
        <f t="shared" si="12"/>
        <v>Medium</v>
      </c>
      <c r="S205" t="str">
        <f t="shared" si="13"/>
        <v>Completed</v>
      </c>
      <c r="T205">
        <f t="shared" si="14"/>
        <v>1080.8</v>
      </c>
      <c r="U205">
        <f t="shared" si="15"/>
        <v>1</v>
      </c>
    </row>
    <row r="206" spans="1:21">
      <c r="A206" t="s">
        <v>243</v>
      </c>
      <c r="B206" s="2">
        <v>46279</v>
      </c>
      <c r="C206" t="s">
        <v>41</v>
      </c>
      <c r="D206" t="s">
        <v>32</v>
      </c>
      <c r="E206">
        <v>33</v>
      </c>
      <c r="F206" s="3">
        <v>3076</v>
      </c>
      <c r="G206" s="4">
        <v>15</v>
      </c>
      <c r="H206">
        <v>2</v>
      </c>
      <c r="I206">
        <v>2</v>
      </c>
      <c r="J206" t="s">
        <v>33</v>
      </c>
      <c r="K206">
        <v>5</v>
      </c>
      <c r="L206" t="s">
        <v>21</v>
      </c>
      <c r="M206" t="s">
        <v>21</v>
      </c>
      <c r="N206" s="5">
        <v>13.5</v>
      </c>
      <c r="O206" t="s">
        <v>27</v>
      </c>
      <c r="P206" t="str">
        <f>IF(I206&gt;H206,"Late","On Time")</f>
        <v>On Time</v>
      </c>
      <c r="Q206">
        <f>MAX(0,I206-H206)</f>
        <v>0</v>
      </c>
      <c r="R206" t="str">
        <f t="shared" si="12"/>
        <v>High</v>
      </c>
      <c r="S206" t="str">
        <f t="shared" si="13"/>
        <v>Completed</v>
      </c>
      <c r="T206">
        <f t="shared" si="14"/>
        <v>2614.6</v>
      </c>
      <c r="U206">
        <f t="shared" si="15"/>
        <v>0</v>
      </c>
    </row>
    <row r="207" spans="1:21">
      <c r="A207" t="s">
        <v>244</v>
      </c>
      <c r="B207" s="2">
        <v>46236</v>
      </c>
      <c r="C207" t="s">
        <v>18</v>
      </c>
      <c r="D207" t="s">
        <v>36</v>
      </c>
      <c r="E207">
        <v>49</v>
      </c>
      <c r="F207" s="3">
        <v>4577</v>
      </c>
      <c r="G207" s="4">
        <v>10</v>
      </c>
      <c r="H207">
        <v>4</v>
      </c>
      <c r="I207">
        <v>4</v>
      </c>
      <c r="J207" t="s">
        <v>26</v>
      </c>
      <c r="K207">
        <v>4</v>
      </c>
      <c r="L207" t="s">
        <v>21</v>
      </c>
      <c r="M207" t="s">
        <v>21</v>
      </c>
      <c r="N207" s="5">
        <v>15.2</v>
      </c>
      <c r="O207" t="s">
        <v>27</v>
      </c>
      <c r="P207" t="str">
        <f>IF(I207&gt;H207,"Late","On Time")</f>
        <v>On Time</v>
      </c>
      <c r="Q207">
        <f>MAX(0,I207-H207)</f>
        <v>0</v>
      </c>
      <c r="R207" t="str">
        <f t="shared" si="12"/>
        <v>High</v>
      </c>
      <c r="S207" t="str">
        <f t="shared" si="13"/>
        <v>Completed</v>
      </c>
      <c r="T207">
        <f t="shared" si="14"/>
        <v>4119.3</v>
      </c>
      <c r="U207">
        <f t="shared" si="15"/>
        <v>0</v>
      </c>
    </row>
    <row r="208" spans="1:21">
      <c r="A208" t="s">
        <v>245</v>
      </c>
      <c r="B208" s="2">
        <v>46241</v>
      </c>
      <c r="C208" t="s">
        <v>35</v>
      </c>
      <c r="D208" t="s">
        <v>38</v>
      </c>
      <c r="E208">
        <v>45</v>
      </c>
      <c r="F208" s="3">
        <v>882</v>
      </c>
      <c r="G208" s="4">
        <v>25</v>
      </c>
      <c r="H208">
        <v>3</v>
      </c>
      <c r="I208">
        <v>4</v>
      </c>
      <c r="J208" t="s">
        <v>30</v>
      </c>
      <c r="K208">
        <v>4</v>
      </c>
      <c r="L208" t="s">
        <v>21</v>
      </c>
      <c r="M208" t="s">
        <v>21</v>
      </c>
      <c r="N208" s="5">
        <v>18.100000000000001</v>
      </c>
      <c r="O208" t="s">
        <v>27</v>
      </c>
      <c r="P208" t="str">
        <f>IF(I208&gt;H208,"Late","On Time")</f>
        <v>Late</v>
      </c>
      <c r="Q208">
        <f>MAX(0,I208-H208)</f>
        <v>1</v>
      </c>
      <c r="R208" t="str">
        <f t="shared" si="12"/>
        <v>High</v>
      </c>
      <c r="S208" t="str">
        <f t="shared" si="13"/>
        <v>Completed</v>
      </c>
      <c r="T208">
        <f t="shared" si="14"/>
        <v>661.5</v>
      </c>
      <c r="U208">
        <f t="shared" si="15"/>
        <v>1</v>
      </c>
    </row>
    <row r="209" spans="1:21">
      <c r="A209" t="s">
        <v>246</v>
      </c>
      <c r="B209" s="2">
        <v>46270</v>
      </c>
      <c r="C209" t="s">
        <v>55</v>
      </c>
      <c r="D209" t="s">
        <v>32</v>
      </c>
      <c r="E209">
        <v>25</v>
      </c>
      <c r="F209" s="3">
        <v>1615</v>
      </c>
      <c r="G209" s="4">
        <v>5</v>
      </c>
      <c r="H209">
        <v>3</v>
      </c>
      <c r="I209">
        <v>2</v>
      </c>
      <c r="J209" t="s">
        <v>26</v>
      </c>
      <c r="K209">
        <v>4</v>
      </c>
      <c r="L209" t="s">
        <v>21</v>
      </c>
      <c r="M209" t="s">
        <v>21</v>
      </c>
      <c r="N209" s="5">
        <v>1.6</v>
      </c>
      <c r="O209" t="s">
        <v>27</v>
      </c>
      <c r="P209" t="str">
        <f>IF(I209&gt;H209,"Late","On Time")</f>
        <v>On Time</v>
      </c>
      <c r="Q209">
        <f>MAX(0,I209-H209)</f>
        <v>0</v>
      </c>
      <c r="R209" t="str">
        <f t="shared" si="12"/>
        <v>High</v>
      </c>
      <c r="S209" t="str">
        <f t="shared" si="13"/>
        <v>Completed</v>
      </c>
      <c r="T209">
        <f t="shared" si="14"/>
        <v>1534.25</v>
      </c>
      <c r="U209">
        <f t="shared" si="15"/>
        <v>0</v>
      </c>
    </row>
    <row r="210" spans="1:21">
      <c r="A210" t="s">
        <v>247</v>
      </c>
      <c r="B210" s="2">
        <v>46260</v>
      </c>
      <c r="C210" t="s">
        <v>41</v>
      </c>
      <c r="D210" t="s">
        <v>36</v>
      </c>
      <c r="E210">
        <v>38</v>
      </c>
      <c r="F210" s="3">
        <v>2629</v>
      </c>
      <c r="G210" s="4">
        <v>10</v>
      </c>
      <c r="H210">
        <v>3</v>
      </c>
      <c r="I210">
        <v>2</v>
      </c>
      <c r="J210" t="s">
        <v>26</v>
      </c>
      <c r="K210">
        <v>5</v>
      </c>
      <c r="L210" t="s">
        <v>21</v>
      </c>
      <c r="M210" t="s">
        <v>21</v>
      </c>
      <c r="N210" s="5">
        <v>23.4</v>
      </c>
      <c r="O210" t="s">
        <v>22</v>
      </c>
      <c r="P210" t="str">
        <f>IF(I210&gt;H210,"Late","On Time")</f>
        <v>On Time</v>
      </c>
      <c r="Q210">
        <f>MAX(0,I210-H210)</f>
        <v>0</v>
      </c>
      <c r="R210" t="str">
        <f t="shared" si="12"/>
        <v>High</v>
      </c>
      <c r="S210" t="str">
        <f t="shared" si="13"/>
        <v>Completed</v>
      </c>
      <c r="T210">
        <f t="shared" si="14"/>
        <v>2366.1</v>
      </c>
      <c r="U210">
        <f t="shared" si="15"/>
        <v>0</v>
      </c>
    </row>
    <row r="211" spans="1:21">
      <c r="A211" t="s">
        <v>248</v>
      </c>
      <c r="B211" s="2">
        <v>46258</v>
      </c>
      <c r="C211" t="s">
        <v>18</v>
      </c>
      <c r="D211" t="s">
        <v>25</v>
      </c>
      <c r="E211">
        <v>36</v>
      </c>
      <c r="F211" s="3">
        <v>9762</v>
      </c>
      <c r="G211" s="4">
        <v>10</v>
      </c>
      <c r="H211">
        <v>3</v>
      </c>
      <c r="I211">
        <v>3</v>
      </c>
      <c r="J211" t="s">
        <v>39</v>
      </c>
      <c r="K211">
        <v>4</v>
      </c>
      <c r="L211" t="s">
        <v>21</v>
      </c>
      <c r="M211" t="s">
        <v>21</v>
      </c>
      <c r="N211" s="5">
        <v>3.8</v>
      </c>
      <c r="O211" t="s">
        <v>22</v>
      </c>
      <c r="P211" t="str">
        <f>IF(I211&gt;H211,"Late","On Time")</f>
        <v>On Time</v>
      </c>
      <c r="Q211">
        <f>MAX(0,I211-H211)</f>
        <v>0</v>
      </c>
      <c r="R211" t="str">
        <f t="shared" si="12"/>
        <v>High</v>
      </c>
      <c r="S211" t="str">
        <f t="shared" si="13"/>
        <v>Completed</v>
      </c>
      <c r="T211">
        <f t="shared" si="14"/>
        <v>8785.8000000000011</v>
      </c>
      <c r="U211">
        <f t="shared" si="15"/>
        <v>0</v>
      </c>
    </row>
    <row r="212" spans="1:21">
      <c r="A212" t="s">
        <v>249</v>
      </c>
      <c r="B212" s="2">
        <v>46235</v>
      </c>
      <c r="C212" t="s">
        <v>55</v>
      </c>
      <c r="D212" t="s">
        <v>25</v>
      </c>
      <c r="E212">
        <v>30</v>
      </c>
      <c r="F212" s="3">
        <v>1317</v>
      </c>
      <c r="G212" s="4">
        <v>5</v>
      </c>
      <c r="H212">
        <v>2</v>
      </c>
      <c r="I212">
        <v>2</v>
      </c>
      <c r="J212" t="s">
        <v>30</v>
      </c>
      <c r="K212">
        <v>5</v>
      </c>
      <c r="L212" t="s">
        <v>21</v>
      </c>
      <c r="M212" t="s">
        <v>21</v>
      </c>
      <c r="N212" s="5">
        <v>1.7</v>
      </c>
      <c r="O212" t="s">
        <v>27</v>
      </c>
      <c r="P212" t="str">
        <f>IF(I212&gt;H212,"Late","On Time")</f>
        <v>On Time</v>
      </c>
      <c r="Q212">
        <f>MAX(0,I212-H212)</f>
        <v>0</v>
      </c>
      <c r="R212" t="str">
        <f t="shared" si="12"/>
        <v>High</v>
      </c>
      <c r="S212" t="str">
        <f t="shared" si="13"/>
        <v>Completed</v>
      </c>
      <c r="T212">
        <f t="shared" si="14"/>
        <v>1251.1499999999999</v>
      </c>
      <c r="U212">
        <f t="shared" si="15"/>
        <v>0</v>
      </c>
    </row>
    <row r="213" spans="1:21">
      <c r="A213" t="s">
        <v>250</v>
      </c>
      <c r="B213" s="2">
        <v>46249</v>
      </c>
      <c r="C213" t="s">
        <v>41</v>
      </c>
      <c r="D213" t="s">
        <v>38</v>
      </c>
      <c r="E213">
        <v>37</v>
      </c>
      <c r="F213" s="3">
        <v>1099</v>
      </c>
      <c r="G213" s="4">
        <v>0</v>
      </c>
      <c r="H213">
        <v>3</v>
      </c>
      <c r="I213">
        <v>6</v>
      </c>
      <c r="J213" t="s">
        <v>26</v>
      </c>
      <c r="K213">
        <v>3</v>
      </c>
      <c r="L213" t="s">
        <v>21</v>
      </c>
      <c r="M213" t="s">
        <v>21</v>
      </c>
      <c r="N213" s="5">
        <v>15.5</v>
      </c>
      <c r="O213" t="s">
        <v>27</v>
      </c>
      <c r="P213" t="str">
        <f>IF(I213&gt;H213,"Late","On Time")</f>
        <v>Late</v>
      </c>
      <c r="Q213">
        <f>MAX(0,I213-H213)</f>
        <v>3</v>
      </c>
      <c r="R213" t="str">
        <f t="shared" si="12"/>
        <v>Medium</v>
      </c>
      <c r="S213" t="str">
        <f t="shared" si="13"/>
        <v>Completed</v>
      </c>
      <c r="T213">
        <f t="shared" si="14"/>
        <v>1099</v>
      </c>
      <c r="U213">
        <f t="shared" si="15"/>
        <v>1</v>
      </c>
    </row>
    <row r="214" spans="1:21">
      <c r="A214" t="s">
        <v>251</v>
      </c>
      <c r="B214" s="2">
        <v>46253</v>
      </c>
      <c r="C214" t="s">
        <v>55</v>
      </c>
      <c r="D214" t="s">
        <v>25</v>
      </c>
      <c r="E214">
        <v>41</v>
      </c>
      <c r="F214" s="3">
        <v>437</v>
      </c>
      <c r="G214" s="4">
        <v>20</v>
      </c>
      <c r="H214">
        <v>1</v>
      </c>
      <c r="I214">
        <v>1</v>
      </c>
      <c r="J214" t="s">
        <v>33</v>
      </c>
      <c r="K214">
        <v>4</v>
      </c>
      <c r="L214" t="s">
        <v>21</v>
      </c>
      <c r="M214" t="s">
        <v>21</v>
      </c>
      <c r="N214" s="5">
        <v>14.9</v>
      </c>
      <c r="O214" t="s">
        <v>59</v>
      </c>
      <c r="P214" t="str">
        <f>IF(I214&gt;H214,"Late","On Time")</f>
        <v>On Time</v>
      </c>
      <c r="Q214">
        <f>MAX(0,I214-H214)</f>
        <v>0</v>
      </c>
      <c r="R214" t="str">
        <f t="shared" si="12"/>
        <v>High</v>
      </c>
      <c r="S214" t="str">
        <f t="shared" si="13"/>
        <v>Completed</v>
      </c>
      <c r="T214">
        <f t="shared" si="14"/>
        <v>349.6</v>
      </c>
      <c r="U214">
        <f t="shared" si="15"/>
        <v>0</v>
      </c>
    </row>
    <row r="215" spans="1:21">
      <c r="A215" t="s">
        <v>252</v>
      </c>
      <c r="B215" s="2">
        <v>46245</v>
      </c>
      <c r="C215" t="s">
        <v>35</v>
      </c>
      <c r="D215" t="s">
        <v>38</v>
      </c>
      <c r="E215">
        <v>38</v>
      </c>
      <c r="F215" s="3">
        <v>1049</v>
      </c>
      <c r="G215" s="4">
        <v>15</v>
      </c>
      <c r="H215">
        <v>2</v>
      </c>
      <c r="I215">
        <v>1</v>
      </c>
      <c r="J215" t="s">
        <v>26</v>
      </c>
      <c r="K215">
        <v>5</v>
      </c>
      <c r="L215" t="s">
        <v>21</v>
      </c>
      <c r="M215" t="s">
        <v>21</v>
      </c>
      <c r="N215" s="5">
        <v>9.9</v>
      </c>
      <c r="O215" t="s">
        <v>27</v>
      </c>
      <c r="P215" t="str">
        <f>IF(I215&gt;H215,"Late","On Time")</f>
        <v>On Time</v>
      </c>
      <c r="Q215">
        <f>MAX(0,I215-H215)</f>
        <v>0</v>
      </c>
      <c r="R215" t="str">
        <f t="shared" si="12"/>
        <v>High</v>
      </c>
      <c r="S215" t="str">
        <f t="shared" si="13"/>
        <v>Completed</v>
      </c>
      <c r="T215">
        <f t="shared" si="14"/>
        <v>891.65</v>
      </c>
      <c r="U215">
        <f t="shared" si="15"/>
        <v>0</v>
      </c>
    </row>
    <row r="216" spans="1:21">
      <c r="A216" t="s">
        <v>253</v>
      </c>
      <c r="B216" s="2">
        <v>46237</v>
      </c>
      <c r="C216" t="s">
        <v>41</v>
      </c>
      <c r="D216" t="s">
        <v>25</v>
      </c>
      <c r="E216">
        <v>38</v>
      </c>
      <c r="F216" s="3">
        <v>1362</v>
      </c>
      <c r="G216" s="4">
        <v>5</v>
      </c>
      <c r="H216">
        <v>3</v>
      </c>
      <c r="I216">
        <v>2</v>
      </c>
      <c r="J216" t="s">
        <v>20</v>
      </c>
      <c r="K216">
        <v>4</v>
      </c>
      <c r="L216" t="s">
        <v>21</v>
      </c>
      <c r="M216" t="s">
        <v>21</v>
      </c>
      <c r="N216" s="5">
        <v>9.6999999999999993</v>
      </c>
      <c r="O216" t="s">
        <v>22</v>
      </c>
      <c r="P216" t="str">
        <f>IF(I216&gt;H216,"Late","On Time")</f>
        <v>On Time</v>
      </c>
      <c r="Q216">
        <f>MAX(0,I216-H216)</f>
        <v>0</v>
      </c>
      <c r="R216" t="str">
        <f t="shared" si="12"/>
        <v>High</v>
      </c>
      <c r="S216" t="str">
        <f t="shared" si="13"/>
        <v>Completed</v>
      </c>
      <c r="T216">
        <f t="shared" si="14"/>
        <v>1293.8999999999999</v>
      </c>
      <c r="U216">
        <f t="shared" si="15"/>
        <v>0</v>
      </c>
    </row>
    <row r="217" spans="1:21">
      <c r="A217" t="s">
        <v>254</v>
      </c>
      <c r="B217" s="2">
        <v>46260</v>
      </c>
      <c r="C217" t="s">
        <v>24</v>
      </c>
      <c r="D217" t="s">
        <v>38</v>
      </c>
      <c r="E217">
        <v>38</v>
      </c>
      <c r="F217" s="3">
        <v>2418</v>
      </c>
      <c r="G217" s="4">
        <v>5</v>
      </c>
      <c r="H217">
        <v>2</v>
      </c>
      <c r="I217">
        <v>2</v>
      </c>
      <c r="J217" t="s">
        <v>26</v>
      </c>
      <c r="K217">
        <v>5</v>
      </c>
      <c r="L217" t="s">
        <v>21</v>
      </c>
      <c r="M217" t="s">
        <v>21</v>
      </c>
      <c r="N217" s="5">
        <v>20.3</v>
      </c>
      <c r="O217" t="s">
        <v>59</v>
      </c>
      <c r="P217" t="str">
        <f>IF(I217&gt;H217,"Late","On Time")</f>
        <v>On Time</v>
      </c>
      <c r="Q217">
        <f>MAX(0,I217-H217)</f>
        <v>0</v>
      </c>
      <c r="R217" t="str">
        <f t="shared" si="12"/>
        <v>High</v>
      </c>
      <c r="S217" t="str">
        <f t="shared" si="13"/>
        <v>Completed</v>
      </c>
      <c r="T217">
        <f t="shared" si="14"/>
        <v>2297.1</v>
      </c>
      <c r="U217">
        <f t="shared" si="15"/>
        <v>0</v>
      </c>
    </row>
    <row r="218" spans="1:21">
      <c r="A218" t="s">
        <v>255</v>
      </c>
      <c r="B218" s="2">
        <v>46272</v>
      </c>
      <c r="C218" t="s">
        <v>41</v>
      </c>
      <c r="D218" t="s">
        <v>47</v>
      </c>
      <c r="E218">
        <v>53</v>
      </c>
      <c r="F218" s="3">
        <v>2601</v>
      </c>
      <c r="G218" s="4">
        <v>5</v>
      </c>
      <c r="H218">
        <v>2</v>
      </c>
      <c r="I218">
        <v>2</v>
      </c>
      <c r="J218" t="s">
        <v>26</v>
      </c>
      <c r="K218">
        <v>4</v>
      </c>
      <c r="L218" t="s">
        <v>21</v>
      </c>
      <c r="M218" t="s">
        <v>21</v>
      </c>
      <c r="N218" s="5">
        <v>1.8</v>
      </c>
      <c r="O218" t="s">
        <v>22</v>
      </c>
      <c r="P218" t="str">
        <f>IF(I218&gt;H218,"Late","On Time")</f>
        <v>On Time</v>
      </c>
      <c r="Q218">
        <f>MAX(0,I218-H218)</f>
        <v>0</v>
      </c>
      <c r="R218" t="str">
        <f t="shared" si="12"/>
        <v>High</v>
      </c>
      <c r="S218" t="str">
        <f t="shared" si="13"/>
        <v>Completed</v>
      </c>
      <c r="T218">
        <f t="shared" si="14"/>
        <v>2470.9499999999998</v>
      </c>
      <c r="U218">
        <f t="shared" si="15"/>
        <v>0</v>
      </c>
    </row>
    <row r="219" spans="1:21">
      <c r="A219" t="s">
        <v>256</v>
      </c>
      <c r="B219" s="2">
        <v>46238</v>
      </c>
      <c r="C219" t="s">
        <v>55</v>
      </c>
      <c r="D219" t="s">
        <v>29</v>
      </c>
      <c r="E219">
        <v>22</v>
      </c>
      <c r="F219" s="3">
        <v>2068</v>
      </c>
      <c r="G219" s="4">
        <v>0</v>
      </c>
      <c r="H219">
        <v>1</v>
      </c>
      <c r="I219">
        <v>1</v>
      </c>
      <c r="J219" t="s">
        <v>39</v>
      </c>
      <c r="K219">
        <v>4</v>
      </c>
      <c r="L219" t="s">
        <v>21</v>
      </c>
      <c r="M219" t="s">
        <v>21</v>
      </c>
      <c r="N219" s="5">
        <v>6.7</v>
      </c>
      <c r="O219" t="s">
        <v>27</v>
      </c>
      <c r="P219" t="str">
        <f>IF(I219&gt;H219,"Late","On Time")</f>
        <v>On Time</v>
      </c>
      <c r="Q219">
        <f>MAX(0,I219-H219)</f>
        <v>0</v>
      </c>
      <c r="R219" t="str">
        <f t="shared" si="12"/>
        <v>High</v>
      </c>
      <c r="S219" t="str">
        <f t="shared" si="13"/>
        <v>Completed</v>
      </c>
      <c r="T219">
        <f t="shared" si="14"/>
        <v>2068</v>
      </c>
      <c r="U219">
        <f t="shared" si="15"/>
        <v>0</v>
      </c>
    </row>
    <row r="220" spans="1:21">
      <c r="A220" t="s">
        <v>257</v>
      </c>
      <c r="B220" s="2">
        <v>46274</v>
      </c>
      <c r="C220" t="s">
        <v>24</v>
      </c>
      <c r="D220" t="s">
        <v>47</v>
      </c>
      <c r="E220">
        <v>45</v>
      </c>
      <c r="F220" s="3">
        <v>2192</v>
      </c>
      <c r="G220" s="4">
        <v>0</v>
      </c>
      <c r="H220">
        <v>3</v>
      </c>
      <c r="I220">
        <v>4</v>
      </c>
      <c r="J220" t="s">
        <v>20</v>
      </c>
      <c r="K220">
        <v>4</v>
      </c>
      <c r="L220" t="s">
        <v>21</v>
      </c>
      <c r="M220" t="s">
        <v>21</v>
      </c>
      <c r="N220" s="5">
        <v>19.600000000000001</v>
      </c>
      <c r="O220" t="s">
        <v>27</v>
      </c>
      <c r="P220" t="str">
        <f>IF(I220&gt;H220,"Late","On Time")</f>
        <v>Late</v>
      </c>
      <c r="Q220">
        <f>MAX(0,I220-H220)</f>
        <v>1</v>
      </c>
      <c r="R220" t="str">
        <f t="shared" si="12"/>
        <v>High</v>
      </c>
      <c r="S220" t="str">
        <f t="shared" si="13"/>
        <v>Completed</v>
      </c>
      <c r="T220">
        <f t="shared" si="14"/>
        <v>2192</v>
      </c>
      <c r="U220">
        <f t="shared" si="15"/>
        <v>1</v>
      </c>
    </row>
    <row r="221" spans="1:21">
      <c r="A221" t="s">
        <v>258</v>
      </c>
      <c r="B221" s="2">
        <v>46250</v>
      </c>
      <c r="C221" t="s">
        <v>55</v>
      </c>
      <c r="D221" t="s">
        <v>36</v>
      </c>
      <c r="E221">
        <v>36</v>
      </c>
      <c r="F221" s="3">
        <v>858</v>
      </c>
      <c r="G221" s="4">
        <v>15</v>
      </c>
      <c r="H221">
        <v>2</v>
      </c>
      <c r="I221">
        <v>1</v>
      </c>
      <c r="J221" t="s">
        <v>20</v>
      </c>
      <c r="K221">
        <v>4</v>
      </c>
      <c r="L221" t="s">
        <v>21</v>
      </c>
      <c r="M221" t="s">
        <v>21</v>
      </c>
      <c r="N221" s="5">
        <v>24.9</v>
      </c>
      <c r="O221" t="s">
        <v>22</v>
      </c>
      <c r="P221" t="str">
        <f>IF(I221&gt;H221,"Late","On Time")</f>
        <v>On Time</v>
      </c>
      <c r="Q221">
        <f>MAX(0,I221-H221)</f>
        <v>0</v>
      </c>
      <c r="R221" t="str">
        <f t="shared" si="12"/>
        <v>High</v>
      </c>
      <c r="S221" t="str">
        <f t="shared" si="13"/>
        <v>Completed</v>
      </c>
      <c r="T221">
        <f t="shared" si="14"/>
        <v>729.3</v>
      </c>
      <c r="U221">
        <f t="shared" si="15"/>
        <v>0</v>
      </c>
    </row>
    <row r="222" spans="1:21">
      <c r="A222" t="s">
        <v>259</v>
      </c>
      <c r="B222" s="2">
        <v>46236</v>
      </c>
      <c r="C222" t="s">
        <v>55</v>
      </c>
      <c r="D222" t="s">
        <v>38</v>
      </c>
      <c r="E222">
        <v>19</v>
      </c>
      <c r="F222" s="3">
        <v>2444</v>
      </c>
      <c r="G222" s="4">
        <v>10</v>
      </c>
      <c r="H222">
        <v>2</v>
      </c>
      <c r="I222">
        <v>3</v>
      </c>
      <c r="J222" t="s">
        <v>33</v>
      </c>
      <c r="K222">
        <v>4</v>
      </c>
      <c r="L222" t="s">
        <v>21</v>
      </c>
      <c r="M222" t="s">
        <v>21</v>
      </c>
      <c r="N222" s="5">
        <v>15.9</v>
      </c>
      <c r="O222" t="s">
        <v>27</v>
      </c>
      <c r="P222" t="str">
        <f>IF(I222&gt;H222,"Late","On Time")</f>
        <v>Late</v>
      </c>
      <c r="Q222">
        <f>MAX(0,I222-H222)</f>
        <v>1</v>
      </c>
      <c r="R222" t="str">
        <f t="shared" si="12"/>
        <v>High</v>
      </c>
      <c r="S222" t="str">
        <f t="shared" si="13"/>
        <v>Completed</v>
      </c>
      <c r="T222">
        <f t="shared" si="14"/>
        <v>2199.6</v>
      </c>
      <c r="U222">
        <f t="shared" si="15"/>
        <v>1</v>
      </c>
    </row>
    <row r="223" spans="1:21">
      <c r="A223" t="s">
        <v>260</v>
      </c>
      <c r="B223" s="2">
        <v>46283</v>
      </c>
      <c r="C223" t="s">
        <v>35</v>
      </c>
      <c r="D223" t="s">
        <v>19</v>
      </c>
      <c r="E223">
        <v>48</v>
      </c>
      <c r="F223" s="3">
        <v>859</v>
      </c>
      <c r="G223" s="4">
        <v>20</v>
      </c>
      <c r="H223">
        <v>2</v>
      </c>
      <c r="I223">
        <v>2</v>
      </c>
      <c r="J223" t="s">
        <v>26</v>
      </c>
      <c r="K223">
        <v>4</v>
      </c>
      <c r="L223" t="s">
        <v>21</v>
      </c>
      <c r="M223" t="s">
        <v>21</v>
      </c>
      <c r="N223" s="5">
        <v>21.8</v>
      </c>
      <c r="O223" t="s">
        <v>22</v>
      </c>
      <c r="P223" t="str">
        <f>IF(I223&gt;H223,"Late","On Time")</f>
        <v>On Time</v>
      </c>
      <c r="Q223">
        <f>MAX(0,I223-H223)</f>
        <v>0</v>
      </c>
      <c r="R223" t="str">
        <f t="shared" si="12"/>
        <v>High</v>
      </c>
      <c r="S223" t="str">
        <f t="shared" si="13"/>
        <v>Completed</v>
      </c>
      <c r="T223">
        <f t="shared" si="14"/>
        <v>687.2</v>
      </c>
      <c r="U223">
        <f t="shared" si="15"/>
        <v>0</v>
      </c>
    </row>
    <row r="224" spans="1:21">
      <c r="A224" t="s">
        <v>261</v>
      </c>
      <c r="B224" s="2">
        <v>46244</v>
      </c>
      <c r="C224" t="s">
        <v>24</v>
      </c>
      <c r="D224" t="s">
        <v>47</v>
      </c>
      <c r="E224">
        <v>42</v>
      </c>
      <c r="F224" s="3">
        <v>747</v>
      </c>
      <c r="G224" s="4">
        <v>5</v>
      </c>
      <c r="H224">
        <v>3</v>
      </c>
      <c r="I224">
        <v>3</v>
      </c>
      <c r="J224" t="s">
        <v>20</v>
      </c>
      <c r="K224">
        <v>5</v>
      </c>
      <c r="L224" t="s">
        <v>56</v>
      </c>
      <c r="M224" t="s">
        <v>21</v>
      </c>
      <c r="N224" s="5">
        <v>7.8</v>
      </c>
      <c r="O224" t="s">
        <v>59</v>
      </c>
      <c r="P224" t="str">
        <f>IF(I224&gt;H224,"Late","On Time")</f>
        <v>On Time</v>
      </c>
      <c r="Q224">
        <f>MAX(0,I224-H224)</f>
        <v>0</v>
      </c>
      <c r="R224" t="str">
        <f t="shared" si="12"/>
        <v>High</v>
      </c>
      <c r="S224" t="str">
        <f t="shared" si="13"/>
        <v>Cancelled</v>
      </c>
      <c r="T224">
        <f t="shared" si="14"/>
        <v>709.65</v>
      </c>
      <c r="U224">
        <f t="shared" si="15"/>
        <v>0</v>
      </c>
    </row>
    <row r="225" spans="1:21">
      <c r="A225" t="s">
        <v>262</v>
      </c>
      <c r="B225" s="2">
        <v>46247</v>
      </c>
      <c r="C225" t="s">
        <v>55</v>
      </c>
      <c r="D225" t="s">
        <v>36</v>
      </c>
      <c r="E225">
        <v>49</v>
      </c>
      <c r="F225" s="3">
        <v>2307</v>
      </c>
      <c r="G225" s="4">
        <v>20</v>
      </c>
      <c r="H225">
        <v>2</v>
      </c>
      <c r="I225">
        <v>3</v>
      </c>
      <c r="J225" t="s">
        <v>20</v>
      </c>
      <c r="K225">
        <v>3</v>
      </c>
      <c r="L225" t="s">
        <v>21</v>
      </c>
      <c r="M225" t="s">
        <v>21</v>
      </c>
      <c r="N225" s="5">
        <v>6.2</v>
      </c>
      <c r="O225" t="s">
        <v>27</v>
      </c>
      <c r="P225" t="str">
        <f>IF(I225&gt;H225,"Late","On Time")</f>
        <v>Late</v>
      </c>
      <c r="Q225">
        <f>MAX(0,I225-H225)</f>
        <v>1</v>
      </c>
      <c r="R225" t="str">
        <f t="shared" si="12"/>
        <v>Medium</v>
      </c>
      <c r="S225" t="str">
        <f t="shared" si="13"/>
        <v>Completed</v>
      </c>
      <c r="T225">
        <f t="shared" si="14"/>
        <v>1845.6000000000001</v>
      </c>
      <c r="U225">
        <f t="shared" si="15"/>
        <v>1</v>
      </c>
    </row>
    <row r="226" spans="1:21">
      <c r="A226" t="s">
        <v>263</v>
      </c>
      <c r="B226" s="2">
        <v>46280</v>
      </c>
      <c r="C226" t="s">
        <v>24</v>
      </c>
      <c r="D226" t="s">
        <v>29</v>
      </c>
      <c r="E226">
        <v>29</v>
      </c>
      <c r="F226" s="3">
        <v>3314</v>
      </c>
      <c r="G226" s="4">
        <v>10</v>
      </c>
      <c r="H226">
        <v>2</v>
      </c>
      <c r="I226">
        <v>2</v>
      </c>
      <c r="J226" t="s">
        <v>30</v>
      </c>
      <c r="K226">
        <v>5</v>
      </c>
      <c r="L226" t="s">
        <v>21</v>
      </c>
      <c r="M226" t="s">
        <v>21</v>
      </c>
      <c r="N226" s="5">
        <v>2.1</v>
      </c>
      <c r="O226" t="s">
        <v>59</v>
      </c>
      <c r="P226" t="str">
        <f>IF(I226&gt;H226,"Late","On Time")</f>
        <v>On Time</v>
      </c>
      <c r="Q226">
        <f>MAX(0,I226-H226)</f>
        <v>0</v>
      </c>
      <c r="R226" t="str">
        <f t="shared" si="12"/>
        <v>High</v>
      </c>
      <c r="S226" t="str">
        <f t="shared" si="13"/>
        <v>Completed</v>
      </c>
      <c r="T226">
        <f t="shared" si="14"/>
        <v>2982.6</v>
      </c>
      <c r="U226">
        <f t="shared" si="15"/>
        <v>0</v>
      </c>
    </row>
    <row r="227" spans="1:21">
      <c r="A227" t="s">
        <v>264</v>
      </c>
      <c r="B227" s="2">
        <v>46279</v>
      </c>
      <c r="C227" t="s">
        <v>41</v>
      </c>
      <c r="D227" t="s">
        <v>47</v>
      </c>
      <c r="E227">
        <v>24</v>
      </c>
      <c r="F227" s="3">
        <v>1469</v>
      </c>
      <c r="G227" s="4">
        <v>10</v>
      </c>
      <c r="H227">
        <v>3</v>
      </c>
      <c r="I227">
        <v>3</v>
      </c>
      <c r="J227" t="s">
        <v>20</v>
      </c>
      <c r="K227">
        <v>5</v>
      </c>
      <c r="L227" t="s">
        <v>21</v>
      </c>
      <c r="M227" t="s">
        <v>21</v>
      </c>
      <c r="N227" s="5">
        <v>10</v>
      </c>
      <c r="O227" t="s">
        <v>27</v>
      </c>
      <c r="P227" t="str">
        <f>IF(I227&gt;H227,"Late","On Time")</f>
        <v>On Time</v>
      </c>
      <c r="Q227">
        <f>MAX(0,I227-H227)</f>
        <v>0</v>
      </c>
      <c r="R227" t="str">
        <f t="shared" si="12"/>
        <v>High</v>
      </c>
      <c r="S227" t="str">
        <f t="shared" si="13"/>
        <v>Completed</v>
      </c>
      <c r="T227">
        <f t="shared" si="14"/>
        <v>1322.1000000000001</v>
      </c>
      <c r="U227">
        <f t="shared" si="15"/>
        <v>0</v>
      </c>
    </row>
    <row r="228" spans="1:21">
      <c r="A228" t="s">
        <v>265</v>
      </c>
      <c r="B228" s="2">
        <v>46237</v>
      </c>
      <c r="C228" t="s">
        <v>55</v>
      </c>
      <c r="D228" t="s">
        <v>38</v>
      </c>
      <c r="E228">
        <v>40</v>
      </c>
      <c r="F228" s="3">
        <v>1533</v>
      </c>
      <c r="G228" s="4">
        <v>5</v>
      </c>
      <c r="H228">
        <v>2</v>
      </c>
      <c r="I228">
        <v>2</v>
      </c>
      <c r="J228" t="s">
        <v>20</v>
      </c>
      <c r="K228">
        <v>4</v>
      </c>
      <c r="L228" t="s">
        <v>56</v>
      </c>
      <c r="M228" t="s">
        <v>21</v>
      </c>
      <c r="N228" s="5">
        <v>9.6</v>
      </c>
      <c r="O228" t="s">
        <v>22</v>
      </c>
      <c r="P228" t="str">
        <f>IF(I228&gt;H228,"Late","On Time")</f>
        <v>On Time</v>
      </c>
      <c r="Q228">
        <f>MAX(0,I228-H228)</f>
        <v>0</v>
      </c>
      <c r="R228" t="str">
        <f t="shared" si="12"/>
        <v>High</v>
      </c>
      <c r="S228" t="str">
        <f t="shared" si="13"/>
        <v>Cancelled</v>
      </c>
      <c r="T228">
        <f t="shared" si="14"/>
        <v>1456.35</v>
      </c>
      <c r="U228">
        <f t="shared" si="15"/>
        <v>0</v>
      </c>
    </row>
    <row r="229" spans="1:21">
      <c r="A229" t="s">
        <v>266</v>
      </c>
      <c r="B229" s="2">
        <v>46275</v>
      </c>
      <c r="C229" t="s">
        <v>24</v>
      </c>
      <c r="D229" t="s">
        <v>47</v>
      </c>
      <c r="E229">
        <v>38</v>
      </c>
      <c r="F229" s="3">
        <v>2983</v>
      </c>
      <c r="G229" s="4">
        <v>20</v>
      </c>
      <c r="H229">
        <v>3</v>
      </c>
      <c r="I229">
        <v>6</v>
      </c>
      <c r="J229" t="s">
        <v>33</v>
      </c>
      <c r="K229">
        <v>2</v>
      </c>
      <c r="L229" t="s">
        <v>21</v>
      </c>
      <c r="M229" t="s">
        <v>21</v>
      </c>
      <c r="N229" s="5">
        <v>18.5</v>
      </c>
      <c r="O229" t="s">
        <v>59</v>
      </c>
      <c r="P229" t="str">
        <f>IF(I229&gt;H229,"Late","On Time")</f>
        <v>Late</v>
      </c>
      <c r="Q229">
        <f>MAX(0,I229-H229)</f>
        <v>3</v>
      </c>
      <c r="R229" t="str">
        <f t="shared" si="12"/>
        <v>Low</v>
      </c>
      <c r="S229" t="str">
        <f t="shared" si="13"/>
        <v>Completed</v>
      </c>
      <c r="T229">
        <f t="shared" si="14"/>
        <v>2386.4</v>
      </c>
      <c r="U229">
        <f t="shared" si="15"/>
        <v>1</v>
      </c>
    </row>
    <row r="230" spans="1:21">
      <c r="A230" t="s">
        <v>267</v>
      </c>
      <c r="B230" s="2">
        <v>46266</v>
      </c>
      <c r="C230" t="s">
        <v>18</v>
      </c>
      <c r="D230" t="s">
        <v>38</v>
      </c>
      <c r="E230">
        <v>39</v>
      </c>
      <c r="F230" s="3">
        <v>2346</v>
      </c>
      <c r="G230" s="4">
        <v>5</v>
      </c>
      <c r="H230">
        <v>2</v>
      </c>
      <c r="I230">
        <v>1</v>
      </c>
      <c r="J230" t="s">
        <v>39</v>
      </c>
      <c r="K230">
        <v>4</v>
      </c>
      <c r="L230" t="s">
        <v>21</v>
      </c>
      <c r="M230" t="s">
        <v>21</v>
      </c>
      <c r="N230" s="5">
        <v>10.8</v>
      </c>
      <c r="O230" t="s">
        <v>27</v>
      </c>
      <c r="P230" t="str">
        <f>IF(I230&gt;H230,"Late","On Time")</f>
        <v>On Time</v>
      </c>
      <c r="Q230">
        <f>MAX(0,I230-H230)</f>
        <v>0</v>
      </c>
      <c r="R230" t="str">
        <f t="shared" si="12"/>
        <v>High</v>
      </c>
      <c r="S230" t="str">
        <f t="shared" si="13"/>
        <v>Completed</v>
      </c>
      <c r="T230">
        <f t="shared" si="14"/>
        <v>2228.6999999999998</v>
      </c>
      <c r="U230">
        <f t="shared" si="15"/>
        <v>0</v>
      </c>
    </row>
    <row r="231" spans="1:21">
      <c r="A231" t="s">
        <v>268</v>
      </c>
      <c r="B231" s="2">
        <v>46253</v>
      </c>
      <c r="C231" t="s">
        <v>41</v>
      </c>
      <c r="D231" t="s">
        <v>29</v>
      </c>
      <c r="E231">
        <v>52</v>
      </c>
      <c r="F231" s="3">
        <v>2910</v>
      </c>
      <c r="G231" s="4">
        <v>15</v>
      </c>
      <c r="H231">
        <v>2</v>
      </c>
      <c r="I231">
        <v>3</v>
      </c>
      <c r="J231" t="s">
        <v>26</v>
      </c>
      <c r="K231">
        <v>4</v>
      </c>
      <c r="L231" t="s">
        <v>21</v>
      </c>
      <c r="M231" t="s">
        <v>21</v>
      </c>
      <c r="N231" s="5">
        <v>23.5</v>
      </c>
      <c r="O231" t="s">
        <v>27</v>
      </c>
      <c r="P231" t="str">
        <f>IF(I231&gt;H231,"Late","On Time")</f>
        <v>Late</v>
      </c>
      <c r="Q231">
        <f>MAX(0,I231-H231)</f>
        <v>1</v>
      </c>
      <c r="R231" t="str">
        <f t="shared" si="12"/>
        <v>High</v>
      </c>
      <c r="S231" t="str">
        <f t="shared" si="13"/>
        <v>Completed</v>
      </c>
      <c r="T231">
        <f t="shared" si="14"/>
        <v>2473.5</v>
      </c>
      <c r="U231">
        <f t="shared" si="15"/>
        <v>1</v>
      </c>
    </row>
    <row r="232" spans="1:21">
      <c r="A232" t="s">
        <v>269</v>
      </c>
      <c r="B232" s="2">
        <v>46276</v>
      </c>
      <c r="C232" t="s">
        <v>18</v>
      </c>
      <c r="D232" t="s">
        <v>29</v>
      </c>
      <c r="E232">
        <v>34</v>
      </c>
      <c r="F232" s="3">
        <v>5136</v>
      </c>
      <c r="G232" s="4">
        <v>5</v>
      </c>
      <c r="H232">
        <v>3</v>
      </c>
      <c r="I232">
        <v>4</v>
      </c>
      <c r="J232" t="s">
        <v>39</v>
      </c>
      <c r="K232">
        <v>4</v>
      </c>
      <c r="L232" t="s">
        <v>21</v>
      </c>
      <c r="M232" t="s">
        <v>21</v>
      </c>
      <c r="N232" s="5">
        <v>5.8</v>
      </c>
      <c r="O232" t="s">
        <v>22</v>
      </c>
      <c r="P232" t="str">
        <f>IF(I232&gt;H232,"Late","On Time")</f>
        <v>Late</v>
      </c>
      <c r="Q232">
        <f>MAX(0,I232-H232)</f>
        <v>1</v>
      </c>
      <c r="R232" t="str">
        <f t="shared" si="12"/>
        <v>High</v>
      </c>
      <c r="S232" t="str">
        <f t="shared" si="13"/>
        <v>Completed</v>
      </c>
      <c r="T232">
        <f t="shared" si="14"/>
        <v>4879.2</v>
      </c>
      <c r="U232">
        <f t="shared" si="15"/>
        <v>1</v>
      </c>
    </row>
    <row r="233" spans="1:21">
      <c r="A233" t="s">
        <v>270</v>
      </c>
      <c r="B233" s="2">
        <v>46254</v>
      </c>
      <c r="C233" t="s">
        <v>24</v>
      </c>
      <c r="D233" t="s">
        <v>47</v>
      </c>
      <c r="E233">
        <v>45</v>
      </c>
      <c r="F233" s="3">
        <v>1694</v>
      </c>
      <c r="G233" s="4">
        <v>5</v>
      </c>
      <c r="H233">
        <v>2</v>
      </c>
      <c r="I233">
        <v>2</v>
      </c>
      <c r="J233" t="s">
        <v>30</v>
      </c>
      <c r="K233">
        <v>4</v>
      </c>
      <c r="L233" t="s">
        <v>21</v>
      </c>
      <c r="M233" t="s">
        <v>21</v>
      </c>
      <c r="N233" s="5">
        <v>4.2</v>
      </c>
      <c r="O233" t="s">
        <v>22</v>
      </c>
      <c r="P233" t="str">
        <f>IF(I233&gt;H233,"Late","On Time")</f>
        <v>On Time</v>
      </c>
      <c r="Q233">
        <f>MAX(0,I233-H233)</f>
        <v>0</v>
      </c>
      <c r="R233" t="str">
        <f t="shared" si="12"/>
        <v>High</v>
      </c>
      <c r="S233" t="str">
        <f t="shared" si="13"/>
        <v>Completed</v>
      </c>
      <c r="T233">
        <f t="shared" si="14"/>
        <v>1609.3</v>
      </c>
      <c r="U233">
        <f t="shared" si="15"/>
        <v>0</v>
      </c>
    </row>
    <row r="234" spans="1:21">
      <c r="A234" t="s">
        <v>271</v>
      </c>
      <c r="B234" s="2">
        <v>46248</v>
      </c>
      <c r="C234" t="s">
        <v>24</v>
      </c>
      <c r="D234" t="s">
        <v>19</v>
      </c>
      <c r="E234">
        <v>21</v>
      </c>
      <c r="F234" s="3">
        <v>910</v>
      </c>
      <c r="G234" s="4">
        <v>15</v>
      </c>
      <c r="H234">
        <v>3</v>
      </c>
      <c r="I234">
        <v>4</v>
      </c>
      <c r="J234" t="s">
        <v>26</v>
      </c>
      <c r="K234">
        <v>4</v>
      </c>
      <c r="L234" t="s">
        <v>21</v>
      </c>
      <c r="M234" t="s">
        <v>21</v>
      </c>
      <c r="N234" s="5">
        <v>2.9</v>
      </c>
      <c r="O234" t="s">
        <v>27</v>
      </c>
      <c r="P234" t="str">
        <f>IF(I234&gt;H234,"Late","On Time")</f>
        <v>Late</v>
      </c>
      <c r="Q234">
        <f>MAX(0,I234-H234)</f>
        <v>1</v>
      </c>
      <c r="R234" t="str">
        <f t="shared" si="12"/>
        <v>High</v>
      </c>
      <c r="S234" t="str">
        <f t="shared" si="13"/>
        <v>Completed</v>
      </c>
      <c r="T234">
        <f t="shared" si="14"/>
        <v>773.5</v>
      </c>
      <c r="U234">
        <f t="shared" si="15"/>
        <v>1</v>
      </c>
    </row>
    <row r="235" spans="1:21">
      <c r="A235" t="s">
        <v>272</v>
      </c>
      <c r="B235" s="2">
        <v>46246</v>
      </c>
      <c r="C235" t="s">
        <v>24</v>
      </c>
      <c r="D235" t="s">
        <v>32</v>
      </c>
      <c r="E235">
        <v>36</v>
      </c>
      <c r="F235" s="3">
        <v>2508</v>
      </c>
      <c r="G235" s="4">
        <v>0</v>
      </c>
      <c r="H235">
        <v>3</v>
      </c>
      <c r="I235">
        <v>3</v>
      </c>
      <c r="J235" t="s">
        <v>39</v>
      </c>
      <c r="K235">
        <v>5</v>
      </c>
      <c r="L235" t="s">
        <v>21</v>
      </c>
      <c r="M235" t="s">
        <v>21</v>
      </c>
      <c r="N235" s="5">
        <v>23.9</v>
      </c>
      <c r="O235" t="s">
        <v>22</v>
      </c>
      <c r="P235" t="str">
        <f>IF(I235&gt;H235,"Late","On Time")</f>
        <v>On Time</v>
      </c>
      <c r="Q235">
        <f>MAX(0,I235-H235)</f>
        <v>0</v>
      </c>
      <c r="R235" t="str">
        <f t="shared" si="12"/>
        <v>High</v>
      </c>
      <c r="S235" t="str">
        <f t="shared" si="13"/>
        <v>Completed</v>
      </c>
      <c r="T235">
        <f t="shared" si="14"/>
        <v>2508</v>
      </c>
      <c r="U235">
        <f t="shared" si="15"/>
        <v>0</v>
      </c>
    </row>
    <row r="236" spans="1:21">
      <c r="A236" t="s">
        <v>273</v>
      </c>
      <c r="B236" s="2">
        <v>46269</v>
      </c>
      <c r="C236" t="s">
        <v>35</v>
      </c>
      <c r="D236" t="s">
        <v>25</v>
      </c>
      <c r="E236">
        <v>41</v>
      </c>
      <c r="F236" s="3">
        <v>941</v>
      </c>
      <c r="G236" s="4">
        <v>15</v>
      </c>
      <c r="H236">
        <v>2</v>
      </c>
      <c r="I236">
        <v>3</v>
      </c>
      <c r="J236" t="s">
        <v>30</v>
      </c>
      <c r="K236">
        <v>3</v>
      </c>
      <c r="L236" t="s">
        <v>21</v>
      </c>
      <c r="M236" t="s">
        <v>21</v>
      </c>
      <c r="N236" s="5">
        <v>8.5</v>
      </c>
      <c r="O236" t="s">
        <v>27</v>
      </c>
      <c r="P236" t="str">
        <f>IF(I236&gt;H236,"Late","On Time")</f>
        <v>Late</v>
      </c>
      <c r="Q236">
        <f>MAX(0,I236-H236)</f>
        <v>1</v>
      </c>
      <c r="R236" t="str">
        <f t="shared" si="12"/>
        <v>Medium</v>
      </c>
      <c r="S236" t="str">
        <f t="shared" si="13"/>
        <v>Completed</v>
      </c>
      <c r="T236">
        <f t="shared" si="14"/>
        <v>799.85</v>
      </c>
      <c r="U236">
        <f t="shared" si="15"/>
        <v>1</v>
      </c>
    </row>
    <row r="237" spans="1:21">
      <c r="A237" t="s">
        <v>274</v>
      </c>
      <c r="B237" s="2">
        <v>46265</v>
      </c>
      <c r="C237" t="s">
        <v>41</v>
      </c>
      <c r="D237" t="s">
        <v>38</v>
      </c>
      <c r="E237">
        <v>55</v>
      </c>
      <c r="F237" s="3">
        <v>2934</v>
      </c>
      <c r="G237" s="4">
        <v>5</v>
      </c>
      <c r="H237">
        <v>4</v>
      </c>
      <c r="I237">
        <v>5</v>
      </c>
      <c r="J237" t="s">
        <v>33</v>
      </c>
      <c r="K237">
        <v>4</v>
      </c>
      <c r="L237" t="s">
        <v>21</v>
      </c>
      <c r="M237" t="s">
        <v>21</v>
      </c>
      <c r="N237" s="5">
        <v>3.1</v>
      </c>
      <c r="O237" t="s">
        <v>27</v>
      </c>
      <c r="P237" t="str">
        <f>IF(I237&gt;H237,"Late","On Time")</f>
        <v>Late</v>
      </c>
      <c r="Q237">
        <f>MAX(0,I237-H237)</f>
        <v>1</v>
      </c>
      <c r="R237" t="str">
        <f t="shared" si="12"/>
        <v>High</v>
      </c>
      <c r="S237" t="str">
        <f t="shared" si="13"/>
        <v>Completed</v>
      </c>
      <c r="T237">
        <f t="shared" si="14"/>
        <v>2787.2999999999997</v>
      </c>
      <c r="U237">
        <f t="shared" si="15"/>
        <v>1</v>
      </c>
    </row>
    <row r="238" spans="1:21">
      <c r="A238" t="s">
        <v>275</v>
      </c>
      <c r="B238" s="2">
        <v>46248</v>
      </c>
      <c r="C238" t="s">
        <v>35</v>
      </c>
      <c r="D238" t="s">
        <v>19</v>
      </c>
      <c r="E238">
        <v>43</v>
      </c>
      <c r="F238" s="3">
        <v>1353</v>
      </c>
      <c r="G238" s="4">
        <v>20</v>
      </c>
      <c r="H238">
        <v>3</v>
      </c>
      <c r="I238">
        <v>4</v>
      </c>
      <c r="J238" t="s">
        <v>33</v>
      </c>
      <c r="K238">
        <v>3</v>
      </c>
      <c r="L238" t="s">
        <v>21</v>
      </c>
      <c r="M238" t="s">
        <v>21</v>
      </c>
      <c r="N238" s="5">
        <v>25.4</v>
      </c>
      <c r="O238" t="s">
        <v>59</v>
      </c>
      <c r="P238" t="str">
        <f>IF(I238&gt;H238,"Late","On Time")</f>
        <v>Late</v>
      </c>
      <c r="Q238">
        <f>MAX(0,I238-H238)</f>
        <v>1</v>
      </c>
      <c r="R238" t="str">
        <f t="shared" si="12"/>
        <v>Medium</v>
      </c>
      <c r="S238" t="str">
        <f t="shared" si="13"/>
        <v>Completed</v>
      </c>
      <c r="T238">
        <f t="shared" si="14"/>
        <v>1082.4000000000001</v>
      </c>
      <c r="U238">
        <f t="shared" si="15"/>
        <v>1</v>
      </c>
    </row>
    <row r="239" spans="1:21">
      <c r="A239" t="s">
        <v>276</v>
      </c>
      <c r="B239" s="2">
        <v>46240</v>
      </c>
      <c r="C239" t="s">
        <v>24</v>
      </c>
      <c r="D239" t="s">
        <v>36</v>
      </c>
      <c r="E239">
        <v>20</v>
      </c>
      <c r="F239" s="3">
        <v>982</v>
      </c>
      <c r="G239" s="4">
        <v>15</v>
      </c>
      <c r="H239">
        <v>2</v>
      </c>
      <c r="I239">
        <v>2</v>
      </c>
      <c r="J239" t="s">
        <v>26</v>
      </c>
      <c r="K239">
        <v>5</v>
      </c>
      <c r="L239" t="s">
        <v>21</v>
      </c>
      <c r="M239" t="s">
        <v>21</v>
      </c>
      <c r="N239" s="5">
        <v>27.7</v>
      </c>
      <c r="O239" t="s">
        <v>59</v>
      </c>
      <c r="P239" t="str">
        <f>IF(I239&gt;H239,"Late","On Time")</f>
        <v>On Time</v>
      </c>
      <c r="Q239">
        <f>MAX(0,I239-H239)</f>
        <v>0</v>
      </c>
      <c r="R239" t="str">
        <f t="shared" si="12"/>
        <v>High</v>
      </c>
      <c r="S239" t="str">
        <f t="shared" si="13"/>
        <v>Completed</v>
      </c>
      <c r="T239">
        <f t="shared" si="14"/>
        <v>834.69999999999993</v>
      </c>
      <c r="U239">
        <f t="shared" si="15"/>
        <v>0</v>
      </c>
    </row>
    <row r="240" spans="1:21">
      <c r="A240" t="s">
        <v>277</v>
      </c>
      <c r="B240" s="2">
        <v>46241</v>
      </c>
      <c r="C240" t="s">
        <v>41</v>
      </c>
      <c r="D240" t="s">
        <v>47</v>
      </c>
      <c r="E240">
        <v>43</v>
      </c>
      <c r="F240" s="3">
        <v>360</v>
      </c>
      <c r="G240" s="4">
        <v>20</v>
      </c>
      <c r="H240">
        <v>3</v>
      </c>
      <c r="I240">
        <v>6</v>
      </c>
      <c r="J240" t="s">
        <v>26</v>
      </c>
      <c r="K240">
        <v>2</v>
      </c>
      <c r="L240" t="s">
        <v>21</v>
      </c>
      <c r="M240" t="s">
        <v>21</v>
      </c>
      <c r="N240" s="5">
        <v>25.8</v>
      </c>
      <c r="O240" t="s">
        <v>22</v>
      </c>
      <c r="P240" t="str">
        <f>IF(I240&gt;H240,"Late","On Time")</f>
        <v>Late</v>
      </c>
      <c r="Q240">
        <f>MAX(0,I240-H240)</f>
        <v>3</v>
      </c>
      <c r="R240" t="str">
        <f t="shared" si="12"/>
        <v>Low</v>
      </c>
      <c r="S240" t="str">
        <f t="shared" si="13"/>
        <v>Completed</v>
      </c>
      <c r="T240">
        <f t="shared" si="14"/>
        <v>288</v>
      </c>
      <c r="U240">
        <f t="shared" si="15"/>
        <v>1</v>
      </c>
    </row>
    <row r="241" spans="1:21">
      <c r="A241" t="s">
        <v>278</v>
      </c>
      <c r="B241" s="2">
        <v>46260</v>
      </c>
      <c r="C241" t="s">
        <v>55</v>
      </c>
      <c r="D241" t="s">
        <v>38</v>
      </c>
      <c r="E241">
        <v>24</v>
      </c>
      <c r="F241" s="3">
        <v>1020</v>
      </c>
      <c r="G241" s="4">
        <v>10</v>
      </c>
      <c r="H241">
        <v>3</v>
      </c>
      <c r="I241">
        <v>3</v>
      </c>
      <c r="J241" t="s">
        <v>30</v>
      </c>
      <c r="K241">
        <v>4</v>
      </c>
      <c r="L241" t="s">
        <v>21</v>
      </c>
      <c r="M241" t="s">
        <v>21</v>
      </c>
      <c r="N241" s="5">
        <v>24.8</v>
      </c>
      <c r="O241" t="s">
        <v>27</v>
      </c>
      <c r="P241" t="str">
        <f>IF(I241&gt;H241,"Late","On Time")</f>
        <v>On Time</v>
      </c>
      <c r="Q241">
        <f>MAX(0,I241-H241)</f>
        <v>0</v>
      </c>
      <c r="R241" t="str">
        <f t="shared" si="12"/>
        <v>High</v>
      </c>
      <c r="S241" t="str">
        <f t="shared" si="13"/>
        <v>Completed</v>
      </c>
      <c r="T241">
        <f t="shared" si="14"/>
        <v>918</v>
      </c>
      <c r="U241">
        <f t="shared" si="15"/>
        <v>0</v>
      </c>
    </row>
    <row r="242" spans="1:21">
      <c r="A242" t="s">
        <v>279</v>
      </c>
      <c r="B242" s="2">
        <v>46266</v>
      </c>
      <c r="C242" t="s">
        <v>24</v>
      </c>
      <c r="D242" t="s">
        <v>47</v>
      </c>
      <c r="E242">
        <v>43</v>
      </c>
      <c r="F242" s="3">
        <v>3633</v>
      </c>
      <c r="G242" s="4">
        <v>10</v>
      </c>
      <c r="H242">
        <v>3</v>
      </c>
      <c r="I242">
        <v>3</v>
      </c>
      <c r="J242" t="s">
        <v>30</v>
      </c>
      <c r="K242">
        <v>5</v>
      </c>
      <c r="L242" t="s">
        <v>56</v>
      </c>
      <c r="M242" t="s">
        <v>21</v>
      </c>
      <c r="N242" s="5">
        <v>2.8</v>
      </c>
      <c r="O242" t="s">
        <v>27</v>
      </c>
      <c r="P242" t="str">
        <f>IF(I242&gt;H242,"Late","On Time")</f>
        <v>On Time</v>
      </c>
      <c r="Q242">
        <f>MAX(0,I242-H242)</f>
        <v>0</v>
      </c>
      <c r="R242" t="str">
        <f t="shared" si="12"/>
        <v>High</v>
      </c>
      <c r="S242" t="str">
        <f t="shared" si="13"/>
        <v>Cancelled</v>
      </c>
      <c r="T242">
        <f t="shared" si="14"/>
        <v>3269.7000000000003</v>
      </c>
      <c r="U242">
        <f t="shared" si="15"/>
        <v>0</v>
      </c>
    </row>
    <row r="243" spans="1:21">
      <c r="A243" t="s">
        <v>280</v>
      </c>
      <c r="B243" s="2">
        <v>46261</v>
      </c>
      <c r="C243" t="s">
        <v>18</v>
      </c>
      <c r="D243" t="s">
        <v>38</v>
      </c>
      <c r="E243">
        <v>32</v>
      </c>
      <c r="F243" s="3">
        <v>5466</v>
      </c>
      <c r="G243" s="4">
        <v>5</v>
      </c>
      <c r="H243">
        <v>3</v>
      </c>
      <c r="I243">
        <v>3</v>
      </c>
      <c r="J243" t="s">
        <v>33</v>
      </c>
      <c r="K243">
        <v>4</v>
      </c>
      <c r="L243" t="s">
        <v>21</v>
      </c>
      <c r="M243" t="s">
        <v>21</v>
      </c>
      <c r="N243" s="5">
        <v>27.3</v>
      </c>
      <c r="O243" t="s">
        <v>27</v>
      </c>
      <c r="P243" t="str">
        <f>IF(I243&gt;H243,"Late","On Time")</f>
        <v>On Time</v>
      </c>
      <c r="Q243">
        <f>MAX(0,I243-H243)</f>
        <v>0</v>
      </c>
      <c r="R243" t="str">
        <f t="shared" si="12"/>
        <v>High</v>
      </c>
      <c r="S243" t="str">
        <f t="shared" si="13"/>
        <v>Completed</v>
      </c>
      <c r="T243">
        <f t="shared" si="14"/>
        <v>5192.7</v>
      </c>
      <c r="U243">
        <f t="shared" si="15"/>
        <v>0</v>
      </c>
    </row>
    <row r="244" spans="1:21">
      <c r="A244" t="s">
        <v>281</v>
      </c>
      <c r="B244" s="2">
        <v>46247</v>
      </c>
      <c r="C244" t="s">
        <v>41</v>
      </c>
      <c r="D244" t="s">
        <v>38</v>
      </c>
      <c r="E244">
        <v>51</v>
      </c>
      <c r="F244" s="3">
        <v>4094</v>
      </c>
      <c r="G244" s="4">
        <v>20</v>
      </c>
      <c r="H244">
        <v>3</v>
      </c>
      <c r="I244">
        <v>3</v>
      </c>
      <c r="J244" t="s">
        <v>33</v>
      </c>
      <c r="K244">
        <v>4</v>
      </c>
      <c r="L244" t="s">
        <v>21</v>
      </c>
      <c r="M244" t="s">
        <v>21</v>
      </c>
      <c r="N244" s="5">
        <v>3.2</v>
      </c>
      <c r="O244" t="s">
        <v>27</v>
      </c>
      <c r="P244" t="str">
        <f>IF(I244&gt;H244,"Late","On Time")</f>
        <v>On Time</v>
      </c>
      <c r="Q244">
        <f>MAX(0,I244-H244)</f>
        <v>0</v>
      </c>
      <c r="R244" t="str">
        <f t="shared" si="12"/>
        <v>High</v>
      </c>
      <c r="S244" t="str">
        <f t="shared" si="13"/>
        <v>Completed</v>
      </c>
      <c r="T244">
        <f t="shared" si="14"/>
        <v>3275.2000000000003</v>
      </c>
      <c r="U244">
        <f t="shared" si="15"/>
        <v>0</v>
      </c>
    </row>
    <row r="245" spans="1:21">
      <c r="A245" t="s">
        <v>282</v>
      </c>
      <c r="B245" s="2">
        <v>46250</v>
      </c>
      <c r="C245" t="s">
        <v>18</v>
      </c>
      <c r="D245" t="s">
        <v>36</v>
      </c>
      <c r="E245">
        <v>20</v>
      </c>
      <c r="F245" s="3">
        <v>763</v>
      </c>
      <c r="G245" s="4">
        <v>15</v>
      </c>
      <c r="H245">
        <v>2</v>
      </c>
      <c r="I245">
        <v>2</v>
      </c>
      <c r="J245" t="s">
        <v>26</v>
      </c>
      <c r="K245">
        <v>4</v>
      </c>
      <c r="L245" t="s">
        <v>21</v>
      </c>
      <c r="M245" t="s">
        <v>21</v>
      </c>
      <c r="N245" s="5">
        <v>25.8</v>
      </c>
      <c r="O245" t="s">
        <v>59</v>
      </c>
      <c r="P245" t="str">
        <f>IF(I245&gt;H245,"Late","On Time")</f>
        <v>On Time</v>
      </c>
      <c r="Q245">
        <f>MAX(0,I245-H245)</f>
        <v>0</v>
      </c>
      <c r="R245" t="str">
        <f t="shared" si="12"/>
        <v>High</v>
      </c>
      <c r="S245" t="str">
        <f t="shared" si="13"/>
        <v>Completed</v>
      </c>
      <c r="T245">
        <f t="shared" si="14"/>
        <v>648.54999999999995</v>
      </c>
      <c r="U245">
        <f t="shared" si="15"/>
        <v>0</v>
      </c>
    </row>
    <row r="246" spans="1:21">
      <c r="A246" t="s">
        <v>283</v>
      </c>
      <c r="B246" s="2">
        <v>46271</v>
      </c>
      <c r="C246" t="s">
        <v>35</v>
      </c>
      <c r="D246" t="s">
        <v>25</v>
      </c>
      <c r="E246">
        <v>46</v>
      </c>
      <c r="F246" s="3">
        <v>1210</v>
      </c>
      <c r="G246" s="4">
        <v>20</v>
      </c>
      <c r="H246">
        <v>3</v>
      </c>
      <c r="I246">
        <v>5</v>
      </c>
      <c r="J246" t="s">
        <v>33</v>
      </c>
      <c r="K246">
        <v>3</v>
      </c>
      <c r="L246" t="s">
        <v>21</v>
      </c>
      <c r="M246" t="s">
        <v>21</v>
      </c>
      <c r="N246" s="5">
        <v>10.8</v>
      </c>
      <c r="O246" t="s">
        <v>27</v>
      </c>
      <c r="P246" t="str">
        <f>IF(I246&gt;H246,"Late","On Time")</f>
        <v>Late</v>
      </c>
      <c r="Q246">
        <f>MAX(0,I246-H246)</f>
        <v>2</v>
      </c>
      <c r="R246" t="str">
        <f t="shared" si="12"/>
        <v>Medium</v>
      </c>
      <c r="S246" t="str">
        <f t="shared" si="13"/>
        <v>Completed</v>
      </c>
      <c r="T246">
        <f t="shared" si="14"/>
        <v>968</v>
      </c>
      <c r="U246">
        <f t="shared" si="15"/>
        <v>1</v>
      </c>
    </row>
    <row r="247" spans="1:21">
      <c r="A247" t="s">
        <v>284</v>
      </c>
      <c r="B247" s="2">
        <v>46243</v>
      </c>
      <c r="C247" t="s">
        <v>24</v>
      </c>
      <c r="D247" t="s">
        <v>38</v>
      </c>
      <c r="E247">
        <v>32</v>
      </c>
      <c r="F247" s="3">
        <v>3434</v>
      </c>
      <c r="G247" s="4">
        <v>25</v>
      </c>
      <c r="H247">
        <v>3</v>
      </c>
      <c r="I247">
        <v>3</v>
      </c>
      <c r="J247" t="s">
        <v>39</v>
      </c>
      <c r="K247">
        <v>5</v>
      </c>
      <c r="L247" t="s">
        <v>21</v>
      </c>
      <c r="M247" t="s">
        <v>21</v>
      </c>
      <c r="N247" s="5">
        <v>19.5</v>
      </c>
      <c r="O247" t="s">
        <v>22</v>
      </c>
      <c r="P247" t="str">
        <f>IF(I247&gt;H247,"Late","On Time")</f>
        <v>On Time</v>
      </c>
      <c r="Q247">
        <f>MAX(0,I247-H247)</f>
        <v>0</v>
      </c>
      <c r="R247" t="str">
        <f t="shared" si="12"/>
        <v>High</v>
      </c>
      <c r="S247" t="str">
        <f t="shared" si="13"/>
        <v>Completed</v>
      </c>
      <c r="T247">
        <f t="shared" si="14"/>
        <v>2575.5</v>
      </c>
      <c r="U247">
        <f t="shared" si="15"/>
        <v>0</v>
      </c>
    </row>
    <row r="248" spans="1:21">
      <c r="A248" t="s">
        <v>285</v>
      </c>
      <c r="B248" s="2">
        <v>46260</v>
      </c>
      <c r="C248" t="s">
        <v>24</v>
      </c>
      <c r="D248" t="s">
        <v>47</v>
      </c>
      <c r="E248">
        <v>18</v>
      </c>
      <c r="F248" s="3">
        <v>2002</v>
      </c>
      <c r="G248" s="4">
        <v>10</v>
      </c>
      <c r="H248">
        <v>3</v>
      </c>
      <c r="I248">
        <v>3</v>
      </c>
      <c r="J248" t="s">
        <v>20</v>
      </c>
      <c r="K248">
        <v>4</v>
      </c>
      <c r="L248" t="s">
        <v>21</v>
      </c>
      <c r="M248" t="s">
        <v>21</v>
      </c>
      <c r="N248" s="5">
        <v>12.7</v>
      </c>
      <c r="O248" t="s">
        <v>22</v>
      </c>
      <c r="P248" t="str">
        <f>IF(I248&gt;H248,"Late","On Time")</f>
        <v>On Time</v>
      </c>
      <c r="Q248">
        <f>MAX(0,I248-H248)</f>
        <v>0</v>
      </c>
      <c r="R248" t="str">
        <f t="shared" si="12"/>
        <v>High</v>
      </c>
      <c r="S248" t="str">
        <f t="shared" si="13"/>
        <v>Completed</v>
      </c>
      <c r="T248">
        <f t="shared" si="14"/>
        <v>1801.8</v>
      </c>
      <c r="U248">
        <f t="shared" si="15"/>
        <v>0</v>
      </c>
    </row>
    <row r="249" spans="1:21">
      <c r="A249" t="s">
        <v>286</v>
      </c>
      <c r="B249" s="2">
        <v>46252</v>
      </c>
      <c r="C249" t="s">
        <v>55</v>
      </c>
      <c r="D249" t="s">
        <v>19</v>
      </c>
      <c r="E249">
        <v>18</v>
      </c>
      <c r="F249" s="3">
        <v>2210</v>
      </c>
      <c r="G249" s="4">
        <v>20</v>
      </c>
      <c r="H249">
        <v>2</v>
      </c>
      <c r="I249">
        <v>2</v>
      </c>
      <c r="J249" t="s">
        <v>30</v>
      </c>
      <c r="K249">
        <v>4</v>
      </c>
      <c r="L249" t="s">
        <v>21</v>
      </c>
      <c r="M249" t="s">
        <v>21</v>
      </c>
      <c r="N249" s="5">
        <v>16.399999999999999</v>
      </c>
      <c r="O249" t="s">
        <v>59</v>
      </c>
      <c r="P249" t="str">
        <f>IF(I249&gt;H249,"Late","On Time")</f>
        <v>On Time</v>
      </c>
      <c r="Q249">
        <f>MAX(0,I249-H249)</f>
        <v>0</v>
      </c>
      <c r="R249" t="str">
        <f t="shared" si="12"/>
        <v>High</v>
      </c>
      <c r="S249" t="str">
        <f t="shared" si="13"/>
        <v>Completed</v>
      </c>
      <c r="T249">
        <f t="shared" si="14"/>
        <v>1768</v>
      </c>
      <c r="U249">
        <f t="shared" si="15"/>
        <v>0</v>
      </c>
    </row>
    <row r="250" spans="1:21">
      <c r="A250" t="s">
        <v>287</v>
      </c>
      <c r="B250" s="2">
        <v>46253</v>
      </c>
      <c r="C250" t="s">
        <v>35</v>
      </c>
      <c r="D250" t="s">
        <v>32</v>
      </c>
      <c r="E250">
        <v>37</v>
      </c>
      <c r="F250" s="3">
        <v>1059</v>
      </c>
      <c r="G250" s="4">
        <v>5</v>
      </c>
      <c r="H250">
        <v>1</v>
      </c>
      <c r="I250">
        <v>2</v>
      </c>
      <c r="J250" t="s">
        <v>39</v>
      </c>
      <c r="K250">
        <v>4</v>
      </c>
      <c r="L250" t="s">
        <v>21</v>
      </c>
      <c r="M250" t="s">
        <v>21</v>
      </c>
      <c r="N250" s="5">
        <v>22.8</v>
      </c>
      <c r="O250" t="s">
        <v>27</v>
      </c>
      <c r="P250" t="str">
        <f>IF(I250&gt;H250,"Late","On Time")</f>
        <v>Late</v>
      </c>
      <c r="Q250">
        <f>MAX(0,I250-H250)</f>
        <v>1</v>
      </c>
      <c r="R250" t="str">
        <f t="shared" si="12"/>
        <v>High</v>
      </c>
      <c r="S250" t="str">
        <f t="shared" si="13"/>
        <v>Completed</v>
      </c>
      <c r="T250">
        <f t="shared" si="14"/>
        <v>1006.05</v>
      </c>
      <c r="U250">
        <f t="shared" si="15"/>
        <v>1</v>
      </c>
    </row>
    <row r="251" spans="1:21">
      <c r="A251" t="s">
        <v>288</v>
      </c>
      <c r="B251" s="2">
        <v>46277</v>
      </c>
      <c r="C251" t="s">
        <v>35</v>
      </c>
      <c r="D251" t="s">
        <v>25</v>
      </c>
      <c r="E251">
        <v>43</v>
      </c>
      <c r="F251" s="3">
        <v>1291</v>
      </c>
      <c r="G251" s="4">
        <v>15</v>
      </c>
      <c r="H251">
        <v>1</v>
      </c>
      <c r="I251">
        <v>1</v>
      </c>
      <c r="J251" t="s">
        <v>39</v>
      </c>
      <c r="K251">
        <v>4</v>
      </c>
      <c r="L251" t="s">
        <v>21</v>
      </c>
      <c r="M251" t="s">
        <v>21</v>
      </c>
      <c r="N251" s="5">
        <v>17</v>
      </c>
      <c r="O251" t="s">
        <v>22</v>
      </c>
      <c r="P251" t="str">
        <f>IF(I251&gt;H251,"Late","On Time")</f>
        <v>On Time</v>
      </c>
      <c r="Q251">
        <f>MAX(0,I251-H251)</f>
        <v>0</v>
      </c>
      <c r="R251" t="str">
        <f t="shared" si="12"/>
        <v>High</v>
      </c>
      <c r="S251" t="str">
        <f t="shared" si="13"/>
        <v>Completed</v>
      </c>
      <c r="T251">
        <f t="shared" si="14"/>
        <v>1097.3499999999999</v>
      </c>
      <c r="U251">
        <f t="shared" si="15"/>
        <v>0</v>
      </c>
    </row>
    <row r="252" spans="1:21">
      <c r="A252" t="s">
        <v>289</v>
      </c>
      <c r="B252" s="2">
        <v>46276</v>
      </c>
      <c r="C252" t="s">
        <v>35</v>
      </c>
      <c r="D252" t="s">
        <v>47</v>
      </c>
      <c r="E252">
        <v>37</v>
      </c>
      <c r="F252" s="3">
        <v>1278</v>
      </c>
      <c r="G252" s="4">
        <v>20</v>
      </c>
      <c r="H252">
        <v>2</v>
      </c>
      <c r="I252">
        <v>2</v>
      </c>
      <c r="J252" t="s">
        <v>30</v>
      </c>
      <c r="K252">
        <v>5</v>
      </c>
      <c r="L252" t="s">
        <v>21</v>
      </c>
      <c r="M252" t="s">
        <v>21</v>
      </c>
      <c r="N252" s="5">
        <v>9.3000000000000007</v>
      </c>
      <c r="O252" t="s">
        <v>59</v>
      </c>
      <c r="P252" t="str">
        <f>IF(I252&gt;H252,"Late","On Time")</f>
        <v>On Time</v>
      </c>
      <c r="Q252">
        <f>MAX(0,I252-H252)</f>
        <v>0</v>
      </c>
      <c r="R252" t="str">
        <f t="shared" si="12"/>
        <v>High</v>
      </c>
      <c r="S252" t="str">
        <f t="shared" si="13"/>
        <v>Completed</v>
      </c>
      <c r="T252">
        <f t="shared" si="14"/>
        <v>1022.4000000000001</v>
      </c>
      <c r="U252">
        <f t="shared" si="15"/>
        <v>0</v>
      </c>
    </row>
    <row r="253" spans="1:21">
      <c r="A253" t="s">
        <v>290</v>
      </c>
      <c r="B253" s="2">
        <v>46272</v>
      </c>
      <c r="C253" t="s">
        <v>18</v>
      </c>
      <c r="D253" t="s">
        <v>36</v>
      </c>
      <c r="E253">
        <v>40</v>
      </c>
      <c r="F253" s="3">
        <v>250</v>
      </c>
      <c r="G253" s="4">
        <v>5</v>
      </c>
      <c r="H253">
        <v>3</v>
      </c>
      <c r="I253">
        <v>3</v>
      </c>
      <c r="J253" t="s">
        <v>20</v>
      </c>
      <c r="K253">
        <v>4</v>
      </c>
      <c r="L253" t="s">
        <v>21</v>
      </c>
      <c r="M253" t="s">
        <v>21</v>
      </c>
      <c r="N253" s="5">
        <v>12.6</v>
      </c>
      <c r="O253" t="s">
        <v>27</v>
      </c>
      <c r="P253" t="str">
        <f>IF(I253&gt;H253,"Late","On Time")</f>
        <v>On Time</v>
      </c>
      <c r="Q253">
        <f>MAX(0,I253-H253)</f>
        <v>0</v>
      </c>
      <c r="R253" t="str">
        <f t="shared" si="12"/>
        <v>High</v>
      </c>
      <c r="S253" t="str">
        <f t="shared" si="13"/>
        <v>Completed</v>
      </c>
      <c r="T253">
        <f t="shared" si="14"/>
        <v>237.5</v>
      </c>
      <c r="U253">
        <f t="shared" si="15"/>
        <v>0</v>
      </c>
    </row>
    <row r="254" spans="1:21">
      <c r="A254" t="s">
        <v>291</v>
      </c>
      <c r="B254" s="2">
        <v>46244</v>
      </c>
      <c r="C254" t="s">
        <v>55</v>
      </c>
      <c r="D254" t="s">
        <v>19</v>
      </c>
      <c r="E254">
        <v>48</v>
      </c>
      <c r="F254" s="3">
        <v>1943</v>
      </c>
      <c r="G254" s="4">
        <v>25</v>
      </c>
      <c r="H254">
        <v>2</v>
      </c>
      <c r="I254">
        <v>2</v>
      </c>
      <c r="J254" t="s">
        <v>39</v>
      </c>
      <c r="K254">
        <v>4</v>
      </c>
      <c r="L254" t="s">
        <v>21</v>
      </c>
      <c r="M254" t="s">
        <v>21</v>
      </c>
      <c r="N254" s="5">
        <v>15.5</v>
      </c>
      <c r="O254" t="s">
        <v>22</v>
      </c>
      <c r="P254" t="str">
        <f>IF(I254&gt;H254,"Late","On Time")</f>
        <v>On Time</v>
      </c>
      <c r="Q254">
        <f>MAX(0,I254-H254)</f>
        <v>0</v>
      </c>
      <c r="R254" t="str">
        <f t="shared" si="12"/>
        <v>High</v>
      </c>
      <c r="S254" t="str">
        <f t="shared" si="13"/>
        <v>Completed</v>
      </c>
      <c r="T254">
        <f t="shared" si="14"/>
        <v>1457.25</v>
      </c>
      <c r="U254">
        <f t="shared" si="15"/>
        <v>0</v>
      </c>
    </row>
    <row r="255" spans="1:21">
      <c r="A255" t="s">
        <v>292</v>
      </c>
      <c r="B255" s="2">
        <v>46271</v>
      </c>
      <c r="C255" t="s">
        <v>35</v>
      </c>
      <c r="D255" t="s">
        <v>38</v>
      </c>
      <c r="E255">
        <v>29</v>
      </c>
      <c r="F255" s="3">
        <v>635</v>
      </c>
      <c r="G255" s="4">
        <v>0</v>
      </c>
      <c r="H255">
        <v>2</v>
      </c>
      <c r="I255">
        <v>2</v>
      </c>
      <c r="J255" t="s">
        <v>33</v>
      </c>
      <c r="K255">
        <v>5</v>
      </c>
      <c r="L255" t="s">
        <v>56</v>
      </c>
      <c r="M255" t="s">
        <v>21</v>
      </c>
      <c r="N255" s="5">
        <v>10.3</v>
      </c>
      <c r="O255" t="s">
        <v>22</v>
      </c>
      <c r="P255" t="str">
        <f>IF(I255&gt;H255,"Late","On Time")</f>
        <v>On Time</v>
      </c>
      <c r="Q255">
        <f>MAX(0,I255-H255)</f>
        <v>0</v>
      </c>
      <c r="R255" t="str">
        <f t="shared" si="12"/>
        <v>High</v>
      </c>
      <c r="S255" t="str">
        <f t="shared" si="13"/>
        <v>Cancelled</v>
      </c>
      <c r="T255">
        <f t="shared" si="14"/>
        <v>635</v>
      </c>
      <c r="U255">
        <f t="shared" si="15"/>
        <v>0</v>
      </c>
    </row>
    <row r="256" spans="1:21">
      <c r="A256" t="s">
        <v>293</v>
      </c>
      <c r="B256" s="2">
        <v>46283</v>
      </c>
      <c r="C256" t="s">
        <v>24</v>
      </c>
      <c r="D256" t="s">
        <v>25</v>
      </c>
      <c r="E256">
        <v>23</v>
      </c>
      <c r="F256" s="3">
        <v>2459</v>
      </c>
      <c r="G256" s="4">
        <v>15</v>
      </c>
      <c r="H256">
        <v>3</v>
      </c>
      <c r="I256">
        <v>2</v>
      </c>
      <c r="J256" t="s">
        <v>30</v>
      </c>
      <c r="K256">
        <v>4</v>
      </c>
      <c r="L256" t="s">
        <v>21</v>
      </c>
      <c r="M256" t="s">
        <v>21</v>
      </c>
      <c r="N256" s="5">
        <v>12.9</v>
      </c>
      <c r="O256" t="s">
        <v>27</v>
      </c>
      <c r="P256" t="str">
        <f>IF(I256&gt;H256,"Late","On Time")</f>
        <v>On Time</v>
      </c>
      <c r="Q256">
        <f>MAX(0,I256-H256)</f>
        <v>0</v>
      </c>
      <c r="R256" t="str">
        <f t="shared" si="12"/>
        <v>High</v>
      </c>
      <c r="S256" t="str">
        <f t="shared" si="13"/>
        <v>Completed</v>
      </c>
      <c r="T256">
        <f t="shared" si="14"/>
        <v>2090.15</v>
      </c>
      <c r="U256">
        <f t="shared" si="15"/>
        <v>0</v>
      </c>
    </row>
    <row r="257" spans="1:21">
      <c r="A257" t="s">
        <v>294</v>
      </c>
      <c r="B257" s="2">
        <v>46237</v>
      </c>
      <c r="C257" t="s">
        <v>55</v>
      </c>
      <c r="D257" t="s">
        <v>36</v>
      </c>
      <c r="E257">
        <v>19</v>
      </c>
      <c r="F257" s="3">
        <v>1864</v>
      </c>
      <c r="G257" s="4">
        <v>25</v>
      </c>
      <c r="H257">
        <v>1</v>
      </c>
      <c r="I257">
        <v>1</v>
      </c>
      <c r="J257" t="s">
        <v>26</v>
      </c>
      <c r="K257">
        <v>4</v>
      </c>
      <c r="L257" t="s">
        <v>21</v>
      </c>
      <c r="M257" t="s">
        <v>21</v>
      </c>
      <c r="N257" s="5">
        <v>18.100000000000001</v>
      </c>
      <c r="O257" t="s">
        <v>27</v>
      </c>
      <c r="P257" t="str">
        <f>IF(I257&gt;H257,"Late","On Time")</f>
        <v>On Time</v>
      </c>
      <c r="Q257">
        <f>MAX(0,I257-H257)</f>
        <v>0</v>
      </c>
      <c r="R257" t="str">
        <f t="shared" si="12"/>
        <v>High</v>
      </c>
      <c r="S257" t="str">
        <f t="shared" si="13"/>
        <v>Completed</v>
      </c>
      <c r="T257">
        <f t="shared" si="14"/>
        <v>1398</v>
      </c>
      <c r="U257">
        <f t="shared" si="15"/>
        <v>0</v>
      </c>
    </row>
    <row r="258" spans="1:21">
      <c r="A258" t="s">
        <v>295</v>
      </c>
      <c r="B258" s="2">
        <v>46236</v>
      </c>
      <c r="C258" t="s">
        <v>35</v>
      </c>
      <c r="D258" t="s">
        <v>29</v>
      </c>
      <c r="E258">
        <v>47</v>
      </c>
      <c r="F258" s="3">
        <v>834</v>
      </c>
      <c r="G258" s="4">
        <v>10</v>
      </c>
      <c r="H258">
        <v>2</v>
      </c>
      <c r="I258">
        <v>2</v>
      </c>
      <c r="J258" t="s">
        <v>39</v>
      </c>
      <c r="K258">
        <v>5</v>
      </c>
      <c r="L258" t="s">
        <v>21</v>
      </c>
      <c r="M258" t="s">
        <v>21</v>
      </c>
      <c r="N258" s="5">
        <v>25</v>
      </c>
      <c r="O258" t="s">
        <v>27</v>
      </c>
      <c r="P258" t="str">
        <f>IF(I258&gt;H258,"Late","On Time")</f>
        <v>On Time</v>
      </c>
      <c r="Q258">
        <f>MAX(0,I258-H258)</f>
        <v>0</v>
      </c>
      <c r="R258" t="str">
        <f t="shared" ref="R258:R301" si="16">IF(K258&gt;=4,"High",IF(K258=3,"Medium","Low"))</f>
        <v>High</v>
      </c>
      <c r="S258" t="str">
        <f t="shared" ref="S258:S301" si="17">IF(L258="Yes","Cancelled",IF(M258="Yes","Returned","Completed"))</f>
        <v>Completed</v>
      </c>
      <c r="T258">
        <f t="shared" ref="T258:T301" si="18">F258*(1-G258/100)</f>
        <v>750.6</v>
      </c>
      <c r="U258">
        <f t="shared" ref="U258:U301" si="19">IF(P258="Late",1,0)</f>
        <v>0</v>
      </c>
    </row>
    <row r="259" spans="1:21">
      <c r="A259" t="s">
        <v>296</v>
      </c>
      <c r="B259" s="2">
        <v>46274</v>
      </c>
      <c r="C259" t="s">
        <v>24</v>
      </c>
      <c r="D259" t="s">
        <v>36</v>
      </c>
      <c r="E259">
        <v>26</v>
      </c>
      <c r="F259" s="3">
        <v>599</v>
      </c>
      <c r="G259" s="4">
        <v>5</v>
      </c>
      <c r="H259">
        <v>2</v>
      </c>
      <c r="I259">
        <v>4</v>
      </c>
      <c r="J259" t="s">
        <v>20</v>
      </c>
      <c r="K259">
        <v>3</v>
      </c>
      <c r="L259" t="s">
        <v>21</v>
      </c>
      <c r="M259" t="s">
        <v>21</v>
      </c>
      <c r="N259" s="5">
        <v>17.100000000000001</v>
      </c>
      <c r="O259" t="s">
        <v>22</v>
      </c>
      <c r="P259" t="str">
        <f>IF(I259&gt;H259,"Late","On Time")</f>
        <v>Late</v>
      </c>
      <c r="Q259">
        <f>MAX(0,I259-H259)</f>
        <v>2</v>
      </c>
      <c r="R259" t="str">
        <f t="shared" si="16"/>
        <v>Medium</v>
      </c>
      <c r="S259" t="str">
        <f t="shared" si="17"/>
        <v>Completed</v>
      </c>
      <c r="T259">
        <f t="shared" si="18"/>
        <v>569.04999999999995</v>
      </c>
      <c r="U259">
        <f t="shared" si="19"/>
        <v>1</v>
      </c>
    </row>
    <row r="260" spans="1:21">
      <c r="A260" t="s">
        <v>297</v>
      </c>
      <c r="B260" s="2">
        <v>46254</v>
      </c>
      <c r="C260" t="s">
        <v>18</v>
      </c>
      <c r="D260" t="s">
        <v>47</v>
      </c>
      <c r="E260">
        <v>21</v>
      </c>
      <c r="F260" s="3">
        <v>2287</v>
      </c>
      <c r="G260" s="4">
        <v>0</v>
      </c>
      <c r="H260">
        <v>2</v>
      </c>
      <c r="I260">
        <v>2</v>
      </c>
      <c r="J260" t="s">
        <v>26</v>
      </c>
      <c r="K260">
        <v>4</v>
      </c>
      <c r="L260" t="s">
        <v>21</v>
      </c>
      <c r="M260" t="s">
        <v>21</v>
      </c>
      <c r="N260" s="5">
        <v>19.8</v>
      </c>
      <c r="O260" t="s">
        <v>27</v>
      </c>
      <c r="P260" t="str">
        <f>IF(I260&gt;H260,"Late","On Time")</f>
        <v>On Time</v>
      </c>
      <c r="Q260">
        <f>MAX(0,I260-H260)</f>
        <v>0</v>
      </c>
      <c r="R260" t="str">
        <f t="shared" si="16"/>
        <v>High</v>
      </c>
      <c r="S260" t="str">
        <f t="shared" si="17"/>
        <v>Completed</v>
      </c>
      <c r="T260">
        <f t="shared" si="18"/>
        <v>2287</v>
      </c>
      <c r="U260">
        <f t="shared" si="19"/>
        <v>0</v>
      </c>
    </row>
    <row r="261" spans="1:21">
      <c r="A261" t="s">
        <v>298</v>
      </c>
      <c r="B261" s="2">
        <v>46242</v>
      </c>
      <c r="C261" t="s">
        <v>41</v>
      </c>
      <c r="D261" t="s">
        <v>32</v>
      </c>
      <c r="E261">
        <v>24</v>
      </c>
      <c r="F261" s="3">
        <v>1113</v>
      </c>
      <c r="G261" s="4">
        <v>25</v>
      </c>
      <c r="H261">
        <v>4</v>
      </c>
      <c r="I261">
        <v>4</v>
      </c>
      <c r="J261" t="s">
        <v>30</v>
      </c>
      <c r="K261">
        <v>4</v>
      </c>
      <c r="L261" t="s">
        <v>21</v>
      </c>
      <c r="M261" t="s">
        <v>21</v>
      </c>
      <c r="N261" s="5">
        <v>8.6999999999999993</v>
      </c>
      <c r="O261" t="s">
        <v>22</v>
      </c>
      <c r="P261" t="str">
        <f>IF(I261&gt;H261,"Late","On Time")</f>
        <v>On Time</v>
      </c>
      <c r="Q261">
        <f>MAX(0,I261-H261)</f>
        <v>0</v>
      </c>
      <c r="R261" t="str">
        <f t="shared" si="16"/>
        <v>High</v>
      </c>
      <c r="S261" t="str">
        <f t="shared" si="17"/>
        <v>Completed</v>
      </c>
      <c r="T261">
        <f t="shared" si="18"/>
        <v>834.75</v>
      </c>
      <c r="U261">
        <f t="shared" si="19"/>
        <v>0</v>
      </c>
    </row>
    <row r="262" spans="1:21">
      <c r="A262" t="s">
        <v>299</v>
      </c>
      <c r="B262" s="2">
        <v>46250</v>
      </c>
      <c r="C262" t="s">
        <v>18</v>
      </c>
      <c r="D262" t="s">
        <v>25</v>
      </c>
      <c r="E262">
        <v>30</v>
      </c>
      <c r="F262" s="3">
        <v>840</v>
      </c>
      <c r="G262" s="4">
        <v>20</v>
      </c>
      <c r="H262">
        <v>3</v>
      </c>
      <c r="I262">
        <v>3</v>
      </c>
      <c r="J262" t="s">
        <v>30</v>
      </c>
      <c r="K262">
        <v>4</v>
      </c>
      <c r="L262" t="s">
        <v>21</v>
      </c>
      <c r="M262" t="s">
        <v>21</v>
      </c>
      <c r="N262" s="5">
        <v>11</v>
      </c>
      <c r="O262" t="s">
        <v>59</v>
      </c>
      <c r="P262" t="str">
        <f>IF(I262&gt;H262,"Late","On Time")</f>
        <v>On Time</v>
      </c>
      <c r="Q262">
        <f>MAX(0,I262-H262)</f>
        <v>0</v>
      </c>
      <c r="R262" t="str">
        <f t="shared" si="16"/>
        <v>High</v>
      </c>
      <c r="S262" t="str">
        <f t="shared" si="17"/>
        <v>Completed</v>
      </c>
      <c r="T262">
        <f t="shared" si="18"/>
        <v>672</v>
      </c>
      <c r="U262">
        <f t="shared" si="19"/>
        <v>0</v>
      </c>
    </row>
    <row r="263" spans="1:21">
      <c r="A263" t="s">
        <v>300</v>
      </c>
      <c r="B263" s="2">
        <v>46264</v>
      </c>
      <c r="C263" t="s">
        <v>18</v>
      </c>
      <c r="D263" t="s">
        <v>19</v>
      </c>
      <c r="E263">
        <v>23</v>
      </c>
      <c r="F263" s="3">
        <v>1456</v>
      </c>
      <c r="G263" s="4">
        <v>0</v>
      </c>
      <c r="H263">
        <v>4</v>
      </c>
      <c r="I263">
        <v>5</v>
      </c>
      <c r="J263" t="s">
        <v>33</v>
      </c>
      <c r="K263">
        <v>4</v>
      </c>
      <c r="L263" t="s">
        <v>21</v>
      </c>
      <c r="M263" t="s">
        <v>21</v>
      </c>
      <c r="N263" s="5">
        <v>19.2</v>
      </c>
      <c r="O263" t="s">
        <v>59</v>
      </c>
      <c r="P263" t="str">
        <f>IF(I263&gt;H263,"Late","On Time")</f>
        <v>Late</v>
      </c>
      <c r="Q263">
        <f>MAX(0,I263-H263)</f>
        <v>1</v>
      </c>
      <c r="R263" t="str">
        <f t="shared" si="16"/>
        <v>High</v>
      </c>
      <c r="S263" t="str">
        <f t="shared" si="17"/>
        <v>Completed</v>
      </c>
      <c r="T263">
        <f t="shared" si="18"/>
        <v>1456</v>
      </c>
      <c r="U263">
        <f t="shared" si="19"/>
        <v>1</v>
      </c>
    </row>
    <row r="264" spans="1:21">
      <c r="A264" t="s">
        <v>301</v>
      </c>
      <c r="B264" s="2">
        <v>46277</v>
      </c>
      <c r="C264" t="s">
        <v>35</v>
      </c>
      <c r="D264" t="s">
        <v>29</v>
      </c>
      <c r="E264">
        <v>47</v>
      </c>
      <c r="F264" s="3">
        <v>1509</v>
      </c>
      <c r="G264" s="4">
        <v>0</v>
      </c>
      <c r="H264">
        <v>2</v>
      </c>
      <c r="I264">
        <v>2</v>
      </c>
      <c r="J264" t="s">
        <v>33</v>
      </c>
      <c r="K264">
        <v>5</v>
      </c>
      <c r="L264" t="s">
        <v>21</v>
      </c>
      <c r="M264" t="s">
        <v>21</v>
      </c>
      <c r="N264" s="5">
        <v>11</v>
      </c>
      <c r="O264" t="s">
        <v>27</v>
      </c>
      <c r="P264" t="str">
        <f>IF(I264&gt;H264,"Late","On Time")</f>
        <v>On Time</v>
      </c>
      <c r="Q264">
        <f>MAX(0,I264-H264)</f>
        <v>0</v>
      </c>
      <c r="R264" t="str">
        <f t="shared" si="16"/>
        <v>High</v>
      </c>
      <c r="S264" t="str">
        <f t="shared" si="17"/>
        <v>Completed</v>
      </c>
      <c r="T264">
        <f t="shared" si="18"/>
        <v>1509</v>
      </c>
      <c r="U264">
        <f t="shared" si="19"/>
        <v>0</v>
      </c>
    </row>
    <row r="265" spans="1:21">
      <c r="A265" t="s">
        <v>302</v>
      </c>
      <c r="B265" s="2">
        <v>46259</v>
      </c>
      <c r="C265" t="s">
        <v>24</v>
      </c>
      <c r="D265" t="s">
        <v>29</v>
      </c>
      <c r="E265">
        <v>40</v>
      </c>
      <c r="F265" s="3">
        <v>2310</v>
      </c>
      <c r="G265" s="4">
        <v>15</v>
      </c>
      <c r="H265">
        <v>4</v>
      </c>
      <c r="I265">
        <v>4</v>
      </c>
      <c r="J265" t="s">
        <v>30</v>
      </c>
      <c r="K265">
        <v>5</v>
      </c>
      <c r="L265" t="s">
        <v>21</v>
      </c>
      <c r="M265" t="s">
        <v>21</v>
      </c>
      <c r="N265" s="5">
        <v>8.6</v>
      </c>
      <c r="O265" t="s">
        <v>59</v>
      </c>
      <c r="P265" t="str">
        <f>IF(I265&gt;H265,"Late","On Time")</f>
        <v>On Time</v>
      </c>
      <c r="Q265">
        <f>MAX(0,I265-H265)</f>
        <v>0</v>
      </c>
      <c r="R265" t="str">
        <f t="shared" si="16"/>
        <v>High</v>
      </c>
      <c r="S265" t="str">
        <f t="shared" si="17"/>
        <v>Completed</v>
      </c>
      <c r="T265">
        <f t="shared" si="18"/>
        <v>1963.5</v>
      </c>
      <c r="U265">
        <f t="shared" si="19"/>
        <v>0</v>
      </c>
    </row>
    <row r="266" spans="1:21">
      <c r="A266" t="s">
        <v>303</v>
      </c>
      <c r="B266" s="2">
        <v>46246</v>
      </c>
      <c r="C266" t="s">
        <v>41</v>
      </c>
      <c r="D266" t="s">
        <v>38</v>
      </c>
      <c r="E266">
        <v>44</v>
      </c>
      <c r="F266" s="3">
        <v>1328</v>
      </c>
      <c r="G266" s="4">
        <v>0</v>
      </c>
      <c r="H266">
        <v>3</v>
      </c>
      <c r="I266">
        <v>4</v>
      </c>
      <c r="J266" t="s">
        <v>39</v>
      </c>
      <c r="K266">
        <v>3</v>
      </c>
      <c r="L266" t="s">
        <v>21</v>
      </c>
      <c r="M266" t="s">
        <v>21</v>
      </c>
      <c r="N266" s="5">
        <v>19.899999999999999</v>
      </c>
      <c r="O266" t="s">
        <v>22</v>
      </c>
      <c r="P266" t="str">
        <f>IF(I266&gt;H266,"Late","On Time")</f>
        <v>Late</v>
      </c>
      <c r="Q266">
        <f>MAX(0,I266-H266)</f>
        <v>1</v>
      </c>
      <c r="R266" t="str">
        <f t="shared" si="16"/>
        <v>Medium</v>
      </c>
      <c r="S266" t="str">
        <f t="shared" si="17"/>
        <v>Completed</v>
      </c>
      <c r="T266">
        <f t="shared" si="18"/>
        <v>1328</v>
      </c>
      <c r="U266">
        <f t="shared" si="19"/>
        <v>1</v>
      </c>
    </row>
    <row r="267" spans="1:21">
      <c r="A267" t="s">
        <v>304</v>
      </c>
      <c r="B267" s="2">
        <v>46251</v>
      </c>
      <c r="C267" t="s">
        <v>55</v>
      </c>
      <c r="D267" t="s">
        <v>25</v>
      </c>
      <c r="E267">
        <v>40</v>
      </c>
      <c r="F267" s="3">
        <v>537</v>
      </c>
      <c r="G267" s="4">
        <v>20</v>
      </c>
      <c r="H267">
        <v>1</v>
      </c>
      <c r="I267">
        <v>1</v>
      </c>
      <c r="J267" t="s">
        <v>26</v>
      </c>
      <c r="K267">
        <v>5</v>
      </c>
      <c r="L267" t="s">
        <v>21</v>
      </c>
      <c r="M267" t="s">
        <v>21</v>
      </c>
      <c r="N267" s="5">
        <v>24.4</v>
      </c>
      <c r="O267" t="s">
        <v>27</v>
      </c>
      <c r="P267" t="str">
        <f>IF(I267&gt;H267,"Late","On Time")</f>
        <v>On Time</v>
      </c>
      <c r="Q267">
        <f>MAX(0,I267-H267)</f>
        <v>0</v>
      </c>
      <c r="R267" t="str">
        <f t="shared" si="16"/>
        <v>High</v>
      </c>
      <c r="S267" t="str">
        <f t="shared" si="17"/>
        <v>Completed</v>
      </c>
      <c r="T267">
        <f t="shared" si="18"/>
        <v>429.6</v>
      </c>
      <c r="U267">
        <f t="shared" si="19"/>
        <v>0</v>
      </c>
    </row>
    <row r="268" spans="1:21">
      <c r="A268" t="s">
        <v>305</v>
      </c>
      <c r="B268" s="2">
        <v>46265</v>
      </c>
      <c r="C268" t="s">
        <v>35</v>
      </c>
      <c r="D268" t="s">
        <v>19</v>
      </c>
      <c r="E268">
        <v>51</v>
      </c>
      <c r="F268" s="3">
        <v>950</v>
      </c>
      <c r="G268" s="4">
        <v>20</v>
      </c>
      <c r="H268">
        <v>2</v>
      </c>
      <c r="I268">
        <v>2</v>
      </c>
      <c r="J268" t="s">
        <v>33</v>
      </c>
      <c r="K268">
        <v>5</v>
      </c>
      <c r="L268" t="s">
        <v>21</v>
      </c>
      <c r="M268" t="s">
        <v>21</v>
      </c>
      <c r="N268" s="5">
        <v>27.4</v>
      </c>
      <c r="O268" t="s">
        <v>27</v>
      </c>
      <c r="P268" t="str">
        <f>IF(I268&gt;H268,"Late","On Time")</f>
        <v>On Time</v>
      </c>
      <c r="Q268">
        <f>MAX(0,I268-H268)</f>
        <v>0</v>
      </c>
      <c r="R268" t="str">
        <f t="shared" si="16"/>
        <v>High</v>
      </c>
      <c r="S268" t="str">
        <f t="shared" si="17"/>
        <v>Completed</v>
      </c>
      <c r="T268">
        <f t="shared" si="18"/>
        <v>760</v>
      </c>
      <c r="U268">
        <f t="shared" si="19"/>
        <v>0</v>
      </c>
    </row>
    <row r="269" spans="1:21">
      <c r="A269" t="s">
        <v>306</v>
      </c>
      <c r="B269" s="2">
        <v>46239</v>
      </c>
      <c r="C269" t="s">
        <v>35</v>
      </c>
      <c r="D269" t="s">
        <v>32</v>
      </c>
      <c r="E269">
        <v>42</v>
      </c>
      <c r="F269" s="3">
        <v>443</v>
      </c>
      <c r="G269" s="4">
        <v>5</v>
      </c>
      <c r="H269">
        <v>3</v>
      </c>
      <c r="I269">
        <v>2</v>
      </c>
      <c r="J269" t="s">
        <v>33</v>
      </c>
      <c r="K269">
        <v>5</v>
      </c>
      <c r="L269" t="s">
        <v>21</v>
      </c>
      <c r="M269" t="s">
        <v>21</v>
      </c>
      <c r="N269" s="5">
        <v>25.1</v>
      </c>
      <c r="O269" t="s">
        <v>22</v>
      </c>
      <c r="P269" t="str">
        <f>IF(I269&gt;H269,"Late","On Time")</f>
        <v>On Time</v>
      </c>
      <c r="Q269">
        <f>MAX(0,I269-H269)</f>
        <v>0</v>
      </c>
      <c r="R269" t="str">
        <f t="shared" si="16"/>
        <v>High</v>
      </c>
      <c r="S269" t="str">
        <f t="shared" si="17"/>
        <v>Completed</v>
      </c>
      <c r="T269">
        <f t="shared" si="18"/>
        <v>420.84999999999997</v>
      </c>
      <c r="U269">
        <f t="shared" si="19"/>
        <v>0</v>
      </c>
    </row>
    <row r="270" spans="1:21">
      <c r="A270" t="s">
        <v>307</v>
      </c>
      <c r="B270" s="2">
        <v>46263</v>
      </c>
      <c r="C270" t="s">
        <v>41</v>
      </c>
      <c r="D270" t="s">
        <v>29</v>
      </c>
      <c r="E270">
        <v>33</v>
      </c>
      <c r="F270" s="3">
        <v>2128</v>
      </c>
      <c r="G270" s="4">
        <v>20</v>
      </c>
      <c r="H270">
        <v>3</v>
      </c>
      <c r="I270">
        <v>3</v>
      </c>
      <c r="J270" t="s">
        <v>39</v>
      </c>
      <c r="K270">
        <v>4</v>
      </c>
      <c r="L270" t="s">
        <v>21</v>
      </c>
      <c r="M270" t="s">
        <v>21</v>
      </c>
      <c r="N270" s="5">
        <v>16.100000000000001</v>
      </c>
      <c r="O270" t="s">
        <v>27</v>
      </c>
      <c r="P270" t="str">
        <f>IF(I270&gt;H270,"Late","On Time")</f>
        <v>On Time</v>
      </c>
      <c r="Q270">
        <f>MAX(0,I270-H270)</f>
        <v>0</v>
      </c>
      <c r="R270" t="str">
        <f t="shared" si="16"/>
        <v>High</v>
      </c>
      <c r="S270" t="str">
        <f t="shared" si="17"/>
        <v>Completed</v>
      </c>
      <c r="T270">
        <f t="shared" si="18"/>
        <v>1702.4</v>
      </c>
      <c r="U270">
        <f t="shared" si="19"/>
        <v>0</v>
      </c>
    </row>
    <row r="271" spans="1:21">
      <c r="A271" t="s">
        <v>308</v>
      </c>
      <c r="B271" s="2">
        <v>46267</v>
      </c>
      <c r="C271" t="s">
        <v>35</v>
      </c>
      <c r="D271" t="s">
        <v>19</v>
      </c>
      <c r="E271">
        <v>49</v>
      </c>
      <c r="F271" s="3">
        <v>1146</v>
      </c>
      <c r="G271" s="4">
        <v>25</v>
      </c>
      <c r="H271">
        <v>1</v>
      </c>
      <c r="I271">
        <v>2</v>
      </c>
      <c r="J271" t="s">
        <v>30</v>
      </c>
      <c r="K271">
        <v>4</v>
      </c>
      <c r="L271" t="s">
        <v>21</v>
      </c>
      <c r="M271" t="s">
        <v>21</v>
      </c>
      <c r="N271" s="5">
        <v>4.2</v>
      </c>
      <c r="O271" t="s">
        <v>59</v>
      </c>
      <c r="P271" t="str">
        <f>IF(I271&gt;H271,"Late","On Time")</f>
        <v>Late</v>
      </c>
      <c r="Q271">
        <f>MAX(0,I271-H271)</f>
        <v>1</v>
      </c>
      <c r="R271" t="str">
        <f t="shared" si="16"/>
        <v>High</v>
      </c>
      <c r="S271" t="str">
        <f t="shared" si="17"/>
        <v>Completed</v>
      </c>
      <c r="T271">
        <f t="shared" si="18"/>
        <v>859.5</v>
      </c>
      <c r="U271">
        <f t="shared" si="19"/>
        <v>1</v>
      </c>
    </row>
    <row r="272" spans="1:21">
      <c r="A272" t="s">
        <v>309</v>
      </c>
      <c r="B272" s="2">
        <v>46283</v>
      </c>
      <c r="C272" t="s">
        <v>55</v>
      </c>
      <c r="D272" t="s">
        <v>36</v>
      </c>
      <c r="E272">
        <v>47</v>
      </c>
      <c r="F272" s="3">
        <v>1942</v>
      </c>
      <c r="G272" s="4">
        <v>0</v>
      </c>
      <c r="H272">
        <v>2</v>
      </c>
      <c r="I272">
        <v>3</v>
      </c>
      <c r="J272" t="s">
        <v>26</v>
      </c>
      <c r="K272">
        <v>4</v>
      </c>
      <c r="L272" t="s">
        <v>21</v>
      </c>
      <c r="M272" t="s">
        <v>21</v>
      </c>
      <c r="N272" s="5">
        <v>23.9</v>
      </c>
      <c r="O272" t="s">
        <v>27</v>
      </c>
      <c r="P272" t="str">
        <f>IF(I272&gt;H272,"Late","On Time")</f>
        <v>Late</v>
      </c>
      <c r="Q272">
        <f>MAX(0,I272-H272)</f>
        <v>1</v>
      </c>
      <c r="R272" t="str">
        <f t="shared" si="16"/>
        <v>High</v>
      </c>
      <c r="S272" t="str">
        <f t="shared" si="17"/>
        <v>Completed</v>
      </c>
      <c r="T272">
        <f t="shared" si="18"/>
        <v>1942</v>
      </c>
      <c r="U272">
        <f t="shared" si="19"/>
        <v>1</v>
      </c>
    </row>
    <row r="273" spans="1:21">
      <c r="A273" t="s">
        <v>310</v>
      </c>
      <c r="B273" s="2">
        <v>46241</v>
      </c>
      <c r="C273" t="s">
        <v>24</v>
      </c>
      <c r="D273" t="s">
        <v>19</v>
      </c>
      <c r="E273">
        <v>39</v>
      </c>
      <c r="F273" s="3">
        <v>1537</v>
      </c>
      <c r="G273" s="4">
        <v>10</v>
      </c>
      <c r="H273">
        <v>3</v>
      </c>
      <c r="I273">
        <v>2</v>
      </c>
      <c r="J273" t="s">
        <v>39</v>
      </c>
      <c r="K273">
        <v>4</v>
      </c>
      <c r="L273" t="s">
        <v>21</v>
      </c>
      <c r="M273" t="s">
        <v>21</v>
      </c>
      <c r="N273" s="5">
        <v>16</v>
      </c>
      <c r="O273" t="s">
        <v>22</v>
      </c>
      <c r="P273" t="str">
        <f>IF(I273&gt;H273,"Late","On Time")</f>
        <v>On Time</v>
      </c>
      <c r="Q273">
        <f>MAX(0,I273-H273)</f>
        <v>0</v>
      </c>
      <c r="R273" t="str">
        <f t="shared" si="16"/>
        <v>High</v>
      </c>
      <c r="S273" t="str">
        <f t="shared" si="17"/>
        <v>Completed</v>
      </c>
      <c r="T273">
        <f t="shared" si="18"/>
        <v>1383.3</v>
      </c>
      <c r="U273">
        <f t="shared" si="19"/>
        <v>0</v>
      </c>
    </row>
    <row r="274" spans="1:21">
      <c r="A274" t="s">
        <v>311</v>
      </c>
      <c r="B274" s="2">
        <v>46242</v>
      </c>
      <c r="C274" t="s">
        <v>35</v>
      </c>
      <c r="D274" t="s">
        <v>47</v>
      </c>
      <c r="E274">
        <v>30</v>
      </c>
      <c r="F274" s="3">
        <v>1208</v>
      </c>
      <c r="G274" s="4">
        <v>15</v>
      </c>
      <c r="H274">
        <v>2</v>
      </c>
      <c r="I274">
        <v>2</v>
      </c>
      <c r="J274" t="s">
        <v>20</v>
      </c>
      <c r="K274">
        <v>4</v>
      </c>
      <c r="L274" t="s">
        <v>21</v>
      </c>
      <c r="M274" t="s">
        <v>21</v>
      </c>
      <c r="N274" s="5">
        <v>13.6</v>
      </c>
      <c r="O274" t="s">
        <v>22</v>
      </c>
      <c r="P274" t="str">
        <f>IF(I274&gt;H274,"Late","On Time")</f>
        <v>On Time</v>
      </c>
      <c r="Q274">
        <f>MAX(0,I274-H274)</f>
        <v>0</v>
      </c>
      <c r="R274" t="str">
        <f t="shared" si="16"/>
        <v>High</v>
      </c>
      <c r="S274" t="str">
        <f t="shared" si="17"/>
        <v>Completed</v>
      </c>
      <c r="T274">
        <f t="shared" si="18"/>
        <v>1026.8</v>
      </c>
      <c r="U274">
        <f t="shared" si="19"/>
        <v>0</v>
      </c>
    </row>
    <row r="275" spans="1:21">
      <c r="A275" t="s">
        <v>312</v>
      </c>
      <c r="B275" s="2">
        <v>46279</v>
      </c>
      <c r="C275" t="s">
        <v>41</v>
      </c>
      <c r="D275" t="s">
        <v>25</v>
      </c>
      <c r="E275">
        <v>55</v>
      </c>
      <c r="F275" s="3">
        <v>5158</v>
      </c>
      <c r="G275" s="4">
        <v>20</v>
      </c>
      <c r="H275">
        <v>3</v>
      </c>
      <c r="I275">
        <v>4</v>
      </c>
      <c r="J275" t="s">
        <v>33</v>
      </c>
      <c r="K275">
        <v>4</v>
      </c>
      <c r="L275" t="s">
        <v>21</v>
      </c>
      <c r="M275" t="s">
        <v>21</v>
      </c>
      <c r="N275" s="5">
        <v>27</v>
      </c>
      <c r="O275" t="s">
        <v>59</v>
      </c>
      <c r="P275" t="str">
        <f>IF(I275&gt;H275,"Late","On Time")</f>
        <v>Late</v>
      </c>
      <c r="Q275">
        <f>MAX(0,I275-H275)</f>
        <v>1</v>
      </c>
      <c r="R275" t="str">
        <f t="shared" si="16"/>
        <v>High</v>
      </c>
      <c r="S275" t="str">
        <f t="shared" si="17"/>
        <v>Completed</v>
      </c>
      <c r="T275">
        <f t="shared" si="18"/>
        <v>4126.4000000000005</v>
      </c>
      <c r="U275">
        <f t="shared" si="19"/>
        <v>1</v>
      </c>
    </row>
    <row r="276" spans="1:21">
      <c r="A276" t="s">
        <v>313</v>
      </c>
      <c r="B276" s="2">
        <v>46263</v>
      </c>
      <c r="C276" t="s">
        <v>55</v>
      </c>
      <c r="D276" t="s">
        <v>36</v>
      </c>
      <c r="E276">
        <v>26</v>
      </c>
      <c r="F276" s="3">
        <v>2098</v>
      </c>
      <c r="G276" s="4">
        <v>20</v>
      </c>
      <c r="H276">
        <v>2</v>
      </c>
      <c r="I276">
        <v>3</v>
      </c>
      <c r="J276" t="s">
        <v>30</v>
      </c>
      <c r="K276">
        <v>4</v>
      </c>
      <c r="L276" t="s">
        <v>21</v>
      </c>
      <c r="M276" t="s">
        <v>21</v>
      </c>
      <c r="N276" s="5">
        <v>14.9</v>
      </c>
      <c r="O276" t="s">
        <v>59</v>
      </c>
      <c r="P276" t="str">
        <f>IF(I276&gt;H276,"Late","On Time")</f>
        <v>Late</v>
      </c>
      <c r="Q276">
        <f>MAX(0,I276-H276)</f>
        <v>1</v>
      </c>
      <c r="R276" t="str">
        <f t="shared" si="16"/>
        <v>High</v>
      </c>
      <c r="S276" t="str">
        <f t="shared" si="17"/>
        <v>Completed</v>
      </c>
      <c r="T276">
        <f t="shared" si="18"/>
        <v>1678.4</v>
      </c>
      <c r="U276">
        <f t="shared" si="19"/>
        <v>1</v>
      </c>
    </row>
    <row r="277" spans="1:21">
      <c r="A277" t="s">
        <v>314</v>
      </c>
      <c r="B277" s="2">
        <v>46280</v>
      </c>
      <c r="C277" t="s">
        <v>24</v>
      </c>
      <c r="D277" t="s">
        <v>36</v>
      </c>
      <c r="E277">
        <v>44</v>
      </c>
      <c r="F277" s="3">
        <v>2598</v>
      </c>
      <c r="G277" s="4">
        <v>20</v>
      </c>
      <c r="H277">
        <v>4</v>
      </c>
      <c r="I277">
        <v>4</v>
      </c>
      <c r="J277" t="s">
        <v>20</v>
      </c>
      <c r="K277">
        <v>5</v>
      </c>
      <c r="L277" t="s">
        <v>21</v>
      </c>
      <c r="M277" t="s">
        <v>21</v>
      </c>
      <c r="N277" s="5">
        <v>9.4</v>
      </c>
      <c r="O277" t="s">
        <v>27</v>
      </c>
      <c r="P277" t="str">
        <f>IF(I277&gt;H277,"Late","On Time")</f>
        <v>On Time</v>
      </c>
      <c r="Q277">
        <f>MAX(0,I277-H277)</f>
        <v>0</v>
      </c>
      <c r="R277" t="str">
        <f t="shared" si="16"/>
        <v>High</v>
      </c>
      <c r="S277" t="str">
        <f t="shared" si="17"/>
        <v>Completed</v>
      </c>
      <c r="T277">
        <f t="shared" si="18"/>
        <v>2078.4</v>
      </c>
      <c r="U277">
        <f t="shared" si="19"/>
        <v>0</v>
      </c>
    </row>
    <row r="278" spans="1:21">
      <c r="A278" t="s">
        <v>315</v>
      </c>
      <c r="B278" s="2">
        <v>46278</v>
      </c>
      <c r="C278" t="s">
        <v>35</v>
      </c>
      <c r="D278" t="s">
        <v>32</v>
      </c>
      <c r="E278">
        <v>40</v>
      </c>
      <c r="F278" s="3">
        <v>1064</v>
      </c>
      <c r="G278" s="4">
        <v>25</v>
      </c>
      <c r="H278">
        <v>2</v>
      </c>
      <c r="I278">
        <v>2</v>
      </c>
      <c r="J278" t="s">
        <v>39</v>
      </c>
      <c r="K278">
        <v>5</v>
      </c>
      <c r="L278" t="s">
        <v>21</v>
      </c>
      <c r="M278" t="s">
        <v>21</v>
      </c>
      <c r="N278" s="5">
        <v>14.9</v>
      </c>
      <c r="O278" t="s">
        <v>22</v>
      </c>
      <c r="P278" t="str">
        <f>IF(I278&gt;H278,"Late","On Time")</f>
        <v>On Time</v>
      </c>
      <c r="Q278">
        <f>MAX(0,I278-H278)</f>
        <v>0</v>
      </c>
      <c r="R278" t="str">
        <f t="shared" si="16"/>
        <v>High</v>
      </c>
      <c r="S278" t="str">
        <f t="shared" si="17"/>
        <v>Completed</v>
      </c>
      <c r="T278">
        <f t="shared" si="18"/>
        <v>798</v>
      </c>
      <c r="U278">
        <f t="shared" si="19"/>
        <v>0</v>
      </c>
    </row>
    <row r="279" spans="1:21">
      <c r="A279" t="s">
        <v>316</v>
      </c>
      <c r="B279" s="2">
        <v>46278</v>
      </c>
      <c r="C279" t="s">
        <v>55</v>
      </c>
      <c r="D279" t="s">
        <v>29</v>
      </c>
      <c r="E279">
        <v>45</v>
      </c>
      <c r="F279" s="3">
        <v>1247</v>
      </c>
      <c r="G279" s="4">
        <v>0</v>
      </c>
      <c r="H279">
        <v>3</v>
      </c>
      <c r="I279">
        <v>2</v>
      </c>
      <c r="J279" t="s">
        <v>30</v>
      </c>
      <c r="K279">
        <v>5</v>
      </c>
      <c r="L279" t="s">
        <v>21</v>
      </c>
      <c r="M279" t="s">
        <v>21</v>
      </c>
      <c r="N279" s="5">
        <v>4.3</v>
      </c>
      <c r="O279" t="s">
        <v>27</v>
      </c>
      <c r="P279" t="str">
        <f>IF(I279&gt;H279,"Late","On Time")</f>
        <v>On Time</v>
      </c>
      <c r="Q279">
        <f>MAX(0,I279-H279)</f>
        <v>0</v>
      </c>
      <c r="R279" t="str">
        <f t="shared" si="16"/>
        <v>High</v>
      </c>
      <c r="S279" t="str">
        <f t="shared" si="17"/>
        <v>Completed</v>
      </c>
      <c r="T279">
        <f t="shared" si="18"/>
        <v>1247</v>
      </c>
      <c r="U279">
        <f t="shared" si="19"/>
        <v>0</v>
      </c>
    </row>
    <row r="280" spans="1:21">
      <c r="A280" t="s">
        <v>317</v>
      </c>
      <c r="B280" s="2">
        <v>46259</v>
      </c>
      <c r="C280" t="s">
        <v>35</v>
      </c>
      <c r="D280" t="s">
        <v>36</v>
      </c>
      <c r="E280">
        <v>21</v>
      </c>
      <c r="F280" s="3">
        <v>793</v>
      </c>
      <c r="G280" s="4">
        <v>20</v>
      </c>
      <c r="H280">
        <v>1</v>
      </c>
      <c r="I280">
        <v>2</v>
      </c>
      <c r="J280" t="s">
        <v>20</v>
      </c>
      <c r="K280">
        <v>4</v>
      </c>
      <c r="L280" t="s">
        <v>21</v>
      </c>
      <c r="M280" t="s">
        <v>21</v>
      </c>
      <c r="N280" s="5">
        <v>11</v>
      </c>
      <c r="O280" t="s">
        <v>22</v>
      </c>
      <c r="P280" t="str">
        <f>IF(I280&gt;H280,"Late","On Time")</f>
        <v>Late</v>
      </c>
      <c r="Q280">
        <f>MAX(0,I280-H280)</f>
        <v>1</v>
      </c>
      <c r="R280" t="str">
        <f t="shared" si="16"/>
        <v>High</v>
      </c>
      <c r="S280" t="str">
        <f t="shared" si="17"/>
        <v>Completed</v>
      </c>
      <c r="T280">
        <f t="shared" si="18"/>
        <v>634.40000000000009</v>
      </c>
      <c r="U280">
        <f t="shared" si="19"/>
        <v>1</v>
      </c>
    </row>
    <row r="281" spans="1:21">
      <c r="A281" t="s">
        <v>318</v>
      </c>
      <c r="B281" s="2">
        <v>46249</v>
      </c>
      <c r="C281" t="s">
        <v>24</v>
      </c>
      <c r="D281" t="s">
        <v>47</v>
      </c>
      <c r="E281">
        <v>36</v>
      </c>
      <c r="F281" s="3">
        <v>1099</v>
      </c>
      <c r="G281" s="4">
        <v>25</v>
      </c>
      <c r="H281">
        <v>2</v>
      </c>
      <c r="I281">
        <v>2</v>
      </c>
      <c r="J281" t="s">
        <v>39</v>
      </c>
      <c r="K281">
        <v>5</v>
      </c>
      <c r="L281" t="s">
        <v>21</v>
      </c>
      <c r="M281" t="s">
        <v>21</v>
      </c>
      <c r="N281" s="5">
        <v>26.1</v>
      </c>
      <c r="O281" t="s">
        <v>27</v>
      </c>
      <c r="P281" t="str">
        <f>IF(I281&gt;H281,"Late","On Time")</f>
        <v>On Time</v>
      </c>
      <c r="Q281">
        <f>MAX(0,I281-H281)</f>
        <v>0</v>
      </c>
      <c r="R281" t="str">
        <f t="shared" si="16"/>
        <v>High</v>
      </c>
      <c r="S281" t="str">
        <f t="shared" si="17"/>
        <v>Completed</v>
      </c>
      <c r="T281">
        <f t="shared" si="18"/>
        <v>824.25</v>
      </c>
      <c r="U281">
        <f t="shared" si="19"/>
        <v>0</v>
      </c>
    </row>
    <row r="282" spans="1:21">
      <c r="A282" t="s">
        <v>319</v>
      </c>
      <c r="B282" s="2">
        <v>46252</v>
      </c>
      <c r="C282" t="s">
        <v>35</v>
      </c>
      <c r="D282" t="s">
        <v>38</v>
      </c>
      <c r="E282">
        <v>55</v>
      </c>
      <c r="F282" s="3">
        <v>444</v>
      </c>
      <c r="G282" s="4">
        <v>25</v>
      </c>
      <c r="H282">
        <v>2</v>
      </c>
      <c r="I282">
        <v>3</v>
      </c>
      <c r="J282" t="s">
        <v>39</v>
      </c>
      <c r="K282">
        <v>3</v>
      </c>
      <c r="L282" t="s">
        <v>21</v>
      </c>
      <c r="M282" t="s">
        <v>21</v>
      </c>
      <c r="N282" s="5">
        <v>9.3000000000000007</v>
      </c>
      <c r="O282" t="s">
        <v>27</v>
      </c>
      <c r="P282" t="str">
        <f>IF(I282&gt;H282,"Late","On Time")</f>
        <v>Late</v>
      </c>
      <c r="Q282">
        <f>MAX(0,I282-H282)</f>
        <v>1</v>
      </c>
      <c r="R282" t="str">
        <f t="shared" si="16"/>
        <v>Medium</v>
      </c>
      <c r="S282" t="str">
        <f t="shared" si="17"/>
        <v>Completed</v>
      </c>
      <c r="T282">
        <f t="shared" si="18"/>
        <v>333</v>
      </c>
      <c r="U282">
        <f t="shared" si="19"/>
        <v>1</v>
      </c>
    </row>
    <row r="283" spans="1:21">
      <c r="A283" t="s">
        <v>320</v>
      </c>
      <c r="B283" s="2">
        <v>46275</v>
      </c>
      <c r="C283" t="s">
        <v>55</v>
      </c>
      <c r="D283" t="s">
        <v>29</v>
      </c>
      <c r="E283">
        <v>26</v>
      </c>
      <c r="F283" s="3">
        <v>1164</v>
      </c>
      <c r="G283" s="4">
        <v>5</v>
      </c>
      <c r="H283">
        <v>3</v>
      </c>
      <c r="I283">
        <v>6</v>
      </c>
      <c r="J283" t="s">
        <v>26</v>
      </c>
      <c r="K283">
        <v>3</v>
      </c>
      <c r="L283" t="s">
        <v>21</v>
      </c>
      <c r="M283" t="s">
        <v>21</v>
      </c>
      <c r="N283" s="5">
        <v>23.9</v>
      </c>
      <c r="O283" t="s">
        <v>27</v>
      </c>
      <c r="P283" t="str">
        <f>IF(I283&gt;H283,"Late","On Time")</f>
        <v>Late</v>
      </c>
      <c r="Q283">
        <f>MAX(0,I283-H283)</f>
        <v>3</v>
      </c>
      <c r="R283" t="str">
        <f t="shared" si="16"/>
        <v>Medium</v>
      </c>
      <c r="S283" t="str">
        <f t="shared" si="17"/>
        <v>Completed</v>
      </c>
      <c r="T283">
        <f t="shared" si="18"/>
        <v>1105.8</v>
      </c>
      <c r="U283">
        <f t="shared" si="19"/>
        <v>1</v>
      </c>
    </row>
    <row r="284" spans="1:21">
      <c r="A284" t="s">
        <v>321</v>
      </c>
      <c r="B284" s="2">
        <v>46269</v>
      </c>
      <c r="C284" t="s">
        <v>55</v>
      </c>
      <c r="D284" t="s">
        <v>38</v>
      </c>
      <c r="E284">
        <v>37</v>
      </c>
      <c r="F284" s="3">
        <v>618</v>
      </c>
      <c r="G284" s="4">
        <v>10</v>
      </c>
      <c r="H284">
        <v>1</v>
      </c>
      <c r="I284">
        <v>1</v>
      </c>
      <c r="J284" t="s">
        <v>20</v>
      </c>
      <c r="K284">
        <v>5</v>
      </c>
      <c r="L284" t="s">
        <v>21</v>
      </c>
      <c r="M284" t="s">
        <v>21</v>
      </c>
      <c r="N284" s="5">
        <v>22.3</v>
      </c>
      <c r="O284" t="s">
        <v>27</v>
      </c>
      <c r="P284" t="str">
        <f>IF(I284&gt;H284,"Late","On Time")</f>
        <v>On Time</v>
      </c>
      <c r="Q284">
        <f>MAX(0,I284-H284)</f>
        <v>0</v>
      </c>
      <c r="R284" t="str">
        <f t="shared" si="16"/>
        <v>High</v>
      </c>
      <c r="S284" t="str">
        <f t="shared" si="17"/>
        <v>Completed</v>
      </c>
      <c r="T284">
        <f t="shared" si="18"/>
        <v>556.20000000000005</v>
      </c>
      <c r="U284">
        <f t="shared" si="19"/>
        <v>0</v>
      </c>
    </row>
    <row r="285" spans="1:21">
      <c r="A285" t="s">
        <v>322</v>
      </c>
      <c r="B285" s="2">
        <v>46242</v>
      </c>
      <c r="C285" t="s">
        <v>41</v>
      </c>
      <c r="D285" t="s">
        <v>19</v>
      </c>
      <c r="E285">
        <v>40</v>
      </c>
      <c r="F285" s="3">
        <v>2692</v>
      </c>
      <c r="G285" s="4">
        <v>5</v>
      </c>
      <c r="H285">
        <v>3</v>
      </c>
      <c r="I285">
        <v>3</v>
      </c>
      <c r="J285" t="s">
        <v>26</v>
      </c>
      <c r="K285">
        <v>4</v>
      </c>
      <c r="L285" t="s">
        <v>21</v>
      </c>
      <c r="M285" t="s">
        <v>21</v>
      </c>
      <c r="N285" s="5">
        <v>19.100000000000001</v>
      </c>
      <c r="O285" t="s">
        <v>59</v>
      </c>
      <c r="P285" t="str">
        <f>IF(I285&gt;H285,"Late","On Time")</f>
        <v>On Time</v>
      </c>
      <c r="Q285">
        <f>MAX(0,I285-H285)</f>
        <v>0</v>
      </c>
      <c r="R285" t="str">
        <f t="shared" si="16"/>
        <v>High</v>
      </c>
      <c r="S285" t="str">
        <f t="shared" si="17"/>
        <v>Completed</v>
      </c>
      <c r="T285">
        <f t="shared" si="18"/>
        <v>2557.4</v>
      </c>
      <c r="U285">
        <f t="shared" si="19"/>
        <v>0</v>
      </c>
    </row>
    <row r="286" spans="1:21">
      <c r="A286" t="s">
        <v>323</v>
      </c>
      <c r="B286" s="2">
        <v>46236</v>
      </c>
      <c r="C286" t="s">
        <v>35</v>
      </c>
      <c r="D286" t="s">
        <v>25</v>
      </c>
      <c r="E286">
        <v>33</v>
      </c>
      <c r="F286" s="3">
        <v>1298</v>
      </c>
      <c r="G286" s="4">
        <v>20</v>
      </c>
      <c r="H286">
        <v>2</v>
      </c>
      <c r="I286">
        <v>2</v>
      </c>
      <c r="J286" t="s">
        <v>30</v>
      </c>
      <c r="K286">
        <v>4</v>
      </c>
      <c r="L286" t="s">
        <v>21</v>
      </c>
      <c r="M286" t="s">
        <v>21</v>
      </c>
      <c r="N286" s="5">
        <v>26.9</v>
      </c>
      <c r="O286" t="s">
        <v>27</v>
      </c>
      <c r="P286" t="str">
        <f>IF(I286&gt;H286,"Late","On Time")</f>
        <v>On Time</v>
      </c>
      <c r="Q286">
        <f>MAX(0,I286-H286)</f>
        <v>0</v>
      </c>
      <c r="R286" t="str">
        <f t="shared" si="16"/>
        <v>High</v>
      </c>
      <c r="S286" t="str">
        <f t="shared" si="17"/>
        <v>Completed</v>
      </c>
      <c r="T286">
        <f t="shared" si="18"/>
        <v>1038.4000000000001</v>
      </c>
      <c r="U286">
        <f t="shared" si="19"/>
        <v>0</v>
      </c>
    </row>
    <row r="287" spans="1:21">
      <c r="A287" t="s">
        <v>324</v>
      </c>
      <c r="B287" s="2">
        <v>46269</v>
      </c>
      <c r="C287" t="s">
        <v>55</v>
      </c>
      <c r="D287" t="s">
        <v>38</v>
      </c>
      <c r="E287">
        <v>41</v>
      </c>
      <c r="F287" s="3">
        <v>932</v>
      </c>
      <c r="G287" s="4">
        <v>20</v>
      </c>
      <c r="H287">
        <v>3</v>
      </c>
      <c r="I287">
        <v>4</v>
      </c>
      <c r="J287" t="s">
        <v>20</v>
      </c>
      <c r="K287">
        <v>4</v>
      </c>
      <c r="L287" t="s">
        <v>21</v>
      </c>
      <c r="M287" t="s">
        <v>21</v>
      </c>
      <c r="N287" s="5">
        <v>13.3</v>
      </c>
      <c r="O287" t="s">
        <v>59</v>
      </c>
      <c r="P287" t="str">
        <f>IF(I287&gt;H287,"Late","On Time")</f>
        <v>Late</v>
      </c>
      <c r="Q287">
        <f>MAX(0,I287-H287)</f>
        <v>1</v>
      </c>
      <c r="R287" t="str">
        <f t="shared" si="16"/>
        <v>High</v>
      </c>
      <c r="S287" t="str">
        <f t="shared" si="17"/>
        <v>Completed</v>
      </c>
      <c r="T287">
        <f t="shared" si="18"/>
        <v>745.6</v>
      </c>
      <c r="U287">
        <f t="shared" si="19"/>
        <v>1</v>
      </c>
    </row>
    <row r="288" spans="1:21">
      <c r="A288" t="s">
        <v>325</v>
      </c>
      <c r="B288" s="2">
        <v>46280</v>
      </c>
      <c r="C288" t="s">
        <v>18</v>
      </c>
      <c r="D288" t="s">
        <v>32</v>
      </c>
      <c r="E288">
        <v>22</v>
      </c>
      <c r="F288" s="3">
        <v>5059</v>
      </c>
      <c r="G288" s="4">
        <v>5</v>
      </c>
      <c r="H288">
        <v>3</v>
      </c>
      <c r="I288">
        <v>6</v>
      </c>
      <c r="J288" t="s">
        <v>39</v>
      </c>
      <c r="K288">
        <v>2</v>
      </c>
      <c r="L288" t="s">
        <v>21</v>
      </c>
      <c r="M288" t="s">
        <v>21</v>
      </c>
      <c r="N288" s="5">
        <v>23.6</v>
      </c>
      <c r="O288" t="s">
        <v>27</v>
      </c>
      <c r="P288" t="str">
        <f>IF(I288&gt;H288,"Late","On Time")</f>
        <v>Late</v>
      </c>
      <c r="Q288">
        <f>MAX(0,I288-H288)</f>
        <v>3</v>
      </c>
      <c r="R288" t="str">
        <f t="shared" si="16"/>
        <v>Low</v>
      </c>
      <c r="S288" t="str">
        <f t="shared" si="17"/>
        <v>Completed</v>
      </c>
      <c r="T288">
        <f t="shared" si="18"/>
        <v>4806.05</v>
      </c>
      <c r="U288">
        <f t="shared" si="19"/>
        <v>1</v>
      </c>
    </row>
    <row r="289" spans="1:21">
      <c r="A289" t="s">
        <v>326</v>
      </c>
      <c r="B289" s="2">
        <v>46262</v>
      </c>
      <c r="C289" t="s">
        <v>35</v>
      </c>
      <c r="D289" t="s">
        <v>19</v>
      </c>
      <c r="E289">
        <v>23</v>
      </c>
      <c r="F289" s="3">
        <v>1378</v>
      </c>
      <c r="G289" s="4">
        <v>0</v>
      </c>
      <c r="H289">
        <v>1</v>
      </c>
      <c r="I289">
        <v>1</v>
      </c>
      <c r="J289" t="s">
        <v>39</v>
      </c>
      <c r="K289">
        <v>5</v>
      </c>
      <c r="L289" t="s">
        <v>21</v>
      </c>
      <c r="M289" t="s">
        <v>21</v>
      </c>
      <c r="N289" s="5">
        <v>6.2</v>
      </c>
      <c r="O289" t="s">
        <v>27</v>
      </c>
      <c r="P289" t="str">
        <f>IF(I289&gt;H289,"Late","On Time")</f>
        <v>On Time</v>
      </c>
      <c r="Q289">
        <f>MAX(0,I289-H289)</f>
        <v>0</v>
      </c>
      <c r="R289" t="str">
        <f t="shared" si="16"/>
        <v>High</v>
      </c>
      <c r="S289" t="str">
        <f t="shared" si="17"/>
        <v>Completed</v>
      </c>
      <c r="T289">
        <f t="shared" si="18"/>
        <v>1378</v>
      </c>
      <c r="U289">
        <f t="shared" si="19"/>
        <v>0</v>
      </c>
    </row>
    <row r="290" spans="1:21">
      <c r="A290" t="s">
        <v>327</v>
      </c>
      <c r="B290" s="2">
        <v>46273</v>
      </c>
      <c r="C290" t="s">
        <v>35</v>
      </c>
      <c r="D290" t="s">
        <v>19</v>
      </c>
      <c r="E290">
        <v>42</v>
      </c>
      <c r="F290" s="3">
        <v>699</v>
      </c>
      <c r="G290" s="4">
        <v>25</v>
      </c>
      <c r="H290">
        <v>3</v>
      </c>
      <c r="I290">
        <v>2</v>
      </c>
      <c r="J290" t="s">
        <v>30</v>
      </c>
      <c r="K290">
        <v>5</v>
      </c>
      <c r="L290" t="s">
        <v>21</v>
      </c>
      <c r="M290" t="s">
        <v>21</v>
      </c>
      <c r="N290" s="5">
        <v>3.2</v>
      </c>
      <c r="O290" t="s">
        <v>27</v>
      </c>
      <c r="P290" t="str">
        <f>IF(I290&gt;H290,"Late","On Time")</f>
        <v>On Time</v>
      </c>
      <c r="Q290">
        <f>MAX(0,I290-H290)</f>
        <v>0</v>
      </c>
      <c r="R290" t="str">
        <f t="shared" si="16"/>
        <v>High</v>
      </c>
      <c r="S290" t="str">
        <f t="shared" si="17"/>
        <v>Completed</v>
      </c>
      <c r="T290">
        <f t="shared" si="18"/>
        <v>524.25</v>
      </c>
      <c r="U290">
        <f t="shared" si="19"/>
        <v>0</v>
      </c>
    </row>
    <row r="291" spans="1:21">
      <c r="A291" t="s">
        <v>328</v>
      </c>
      <c r="B291" s="2">
        <v>46253</v>
      </c>
      <c r="C291" t="s">
        <v>18</v>
      </c>
      <c r="D291" t="s">
        <v>29</v>
      </c>
      <c r="E291">
        <v>46</v>
      </c>
      <c r="F291" s="3">
        <v>1459</v>
      </c>
      <c r="G291" s="4">
        <v>15</v>
      </c>
      <c r="H291">
        <v>3</v>
      </c>
      <c r="I291">
        <v>4</v>
      </c>
      <c r="J291" t="s">
        <v>20</v>
      </c>
      <c r="K291">
        <v>4</v>
      </c>
      <c r="L291" t="s">
        <v>21</v>
      </c>
      <c r="M291" t="s">
        <v>21</v>
      </c>
      <c r="N291" s="5">
        <v>23.3</v>
      </c>
      <c r="O291" t="s">
        <v>22</v>
      </c>
      <c r="P291" t="str">
        <f>IF(I291&gt;H291,"Late","On Time")</f>
        <v>Late</v>
      </c>
      <c r="Q291">
        <f>MAX(0,I291-H291)</f>
        <v>1</v>
      </c>
      <c r="R291" t="str">
        <f t="shared" si="16"/>
        <v>High</v>
      </c>
      <c r="S291" t="str">
        <f t="shared" si="17"/>
        <v>Completed</v>
      </c>
      <c r="T291">
        <f t="shared" si="18"/>
        <v>1240.1499999999999</v>
      </c>
      <c r="U291">
        <f t="shared" si="19"/>
        <v>1</v>
      </c>
    </row>
    <row r="292" spans="1:21">
      <c r="A292" t="s">
        <v>329</v>
      </c>
      <c r="B292" s="2">
        <v>46248</v>
      </c>
      <c r="C292" t="s">
        <v>24</v>
      </c>
      <c r="D292" t="s">
        <v>29</v>
      </c>
      <c r="E292">
        <v>41</v>
      </c>
      <c r="F292" s="3">
        <v>1929</v>
      </c>
      <c r="G292" s="4">
        <v>20</v>
      </c>
      <c r="H292">
        <v>3</v>
      </c>
      <c r="I292">
        <v>6</v>
      </c>
      <c r="J292" t="s">
        <v>30</v>
      </c>
      <c r="K292">
        <v>2</v>
      </c>
      <c r="L292" t="s">
        <v>21</v>
      </c>
      <c r="M292" t="s">
        <v>21</v>
      </c>
      <c r="N292" s="5">
        <v>4.8</v>
      </c>
      <c r="O292" t="s">
        <v>22</v>
      </c>
      <c r="P292" t="str">
        <f>IF(I292&gt;H292,"Late","On Time")</f>
        <v>Late</v>
      </c>
      <c r="Q292">
        <f>MAX(0,I292-H292)</f>
        <v>3</v>
      </c>
      <c r="R292" t="str">
        <f t="shared" si="16"/>
        <v>Low</v>
      </c>
      <c r="S292" t="str">
        <f t="shared" si="17"/>
        <v>Completed</v>
      </c>
      <c r="T292">
        <f t="shared" si="18"/>
        <v>1543.2</v>
      </c>
      <c r="U292">
        <f t="shared" si="19"/>
        <v>1</v>
      </c>
    </row>
    <row r="293" spans="1:21">
      <c r="A293" t="s">
        <v>330</v>
      </c>
      <c r="B293" s="2">
        <v>46264</v>
      </c>
      <c r="C293" t="s">
        <v>41</v>
      </c>
      <c r="D293" t="s">
        <v>32</v>
      </c>
      <c r="E293">
        <v>50</v>
      </c>
      <c r="F293" s="3">
        <v>2552</v>
      </c>
      <c r="G293" s="4">
        <v>5</v>
      </c>
      <c r="H293">
        <v>3</v>
      </c>
      <c r="I293">
        <v>3</v>
      </c>
      <c r="J293" t="s">
        <v>20</v>
      </c>
      <c r="K293">
        <v>4</v>
      </c>
      <c r="L293" t="s">
        <v>21</v>
      </c>
      <c r="M293" t="s">
        <v>21</v>
      </c>
      <c r="N293" s="5">
        <v>6.4</v>
      </c>
      <c r="O293" t="s">
        <v>22</v>
      </c>
      <c r="P293" t="str">
        <f>IF(I293&gt;H293,"Late","On Time")</f>
        <v>On Time</v>
      </c>
      <c r="Q293">
        <f>MAX(0,I293-H293)</f>
        <v>0</v>
      </c>
      <c r="R293" t="str">
        <f t="shared" si="16"/>
        <v>High</v>
      </c>
      <c r="S293" t="str">
        <f t="shared" si="17"/>
        <v>Completed</v>
      </c>
      <c r="T293">
        <f t="shared" si="18"/>
        <v>2424.4</v>
      </c>
      <c r="U293">
        <f t="shared" si="19"/>
        <v>0</v>
      </c>
    </row>
    <row r="294" spans="1:21">
      <c r="A294" t="s">
        <v>331</v>
      </c>
      <c r="B294" s="2">
        <v>46255</v>
      </c>
      <c r="C294" t="s">
        <v>55</v>
      </c>
      <c r="D294" t="s">
        <v>19</v>
      </c>
      <c r="E294">
        <v>36</v>
      </c>
      <c r="F294" s="3">
        <v>1184</v>
      </c>
      <c r="G294" s="4">
        <v>5</v>
      </c>
      <c r="H294">
        <v>3</v>
      </c>
      <c r="I294">
        <v>3</v>
      </c>
      <c r="J294" t="s">
        <v>33</v>
      </c>
      <c r="K294">
        <v>5</v>
      </c>
      <c r="L294" t="s">
        <v>21</v>
      </c>
      <c r="M294" t="s">
        <v>21</v>
      </c>
      <c r="N294" s="5">
        <v>14.4</v>
      </c>
      <c r="O294" t="s">
        <v>27</v>
      </c>
      <c r="P294" t="str">
        <f>IF(I294&gt;H294,"Late","On Time")</f>
        <v>On Time</v>
      </c>
      <c r="Q294">
        <f>MAX(0,I294-H294)</f>
        <v>0</v>
      </c>
      <c r="R294" t="str">
        <f t="shared" si="16"/>
        <v>High</v>
      </c>
      <c r="S294" t="str">
        <f t="shared" si="17"/>
        <v>Completed</v>
      </c>
      <c r="T294">
        <f t="shared" si="18"/>
        <v>1124.8</v>
      </c>
      <c r="U294">
        <f t="shared" si="19"/>
        <v>0</v>
      </c>
    </row>
    <row r="295" spans="1:21">
      <c r="A295" t="s">
        <v>332</v>
      </c>
      <c r="B295" s="2">
        <v>46280</v>
      </c>
      <c r="C295" t="s">
        <v>41</v>
      </c>
      <c r="D295" t="s">
        <v>25</v>
      </c>
      <c r="E295">
        <v>39</v>
      </c>
      <c r="F295" s="3">
        <v>1796</v>
      </c>
      <c r="G295" s="4">
        <v>20</v>
      </c>
      <c r="H295">
        <v>3</v>
      </c>
      <c r="I295">
        <v>5</v>
      </c>
      <c r="J295" t="s">
        <v>33</v>
      </c>
      <c r="K295">
        <v>3</v>
      </c>
      <c r="L295" t="s">
        <v>21</v>
      </c>
      <c r="M295" t="s">
        <v>21</v>
      </c>
      <c r="N295" s="5">
        <v>19.899999999999999</v>
      </c>
      <c r="O295" t="s">
        <v>27</v>
      </c>
      <c r="P295" t="str">
        <f>IF(I295&gt;H295,"Late","On Time")</f>
        <v>Late</v>
      </c>
      <c r="Q295">
        <f>MAX(0,I295-H295)</f>
        <v>2</v>
      </c>
      <c r="R295" t="str">
        <f t="shared" si="16"/>
        <v>Medium</v>
      </c>
      <c r="S295" t="str">
        <f t="shared" si="17"/>
        <v>Completed</v>
      </c>
      <c r="T295">
        <f t="shared" si="18"/>
        <v>1436.8000000000002</v>
      </c>
      <c r="U295">
        <f t="shared" si="19"/>
        <v>1</v>
      </c>
    </row>
    <row r="296" spans="1:21">
      <c r="A296" t="s">
        <v>333</v>
      </c>
      <c r="B296" s="2">
        <v>46269</v>
      </c>
      <c r="C296" t="s">
        <v>41</v>
      </c>
      <c r="D296" t="s">
        <v>29</v>
      </c>
      <c r="E296">
        <v>41</v>
      </c>
      <c r="F296" s="3">
        <v>3895</v>
      </c>
      <c r="G296" s="4">
        <v>15</v>
      </c>
      <c r="H296">
        <v>3</v>
      </c>
      <c r="I296">
        <v>3</v>
      </c>
      <c r="J296" t="s">
        <v>33</v>
      </c>
      <c r="K296">
        <v>5</v>
      </c>
      <c r="L296" t="s">
        <v>21</v>
      </c>
      <c r="M296" t="s">
        <v>21</v>
      </c>
      <c r="N296" s="5">
        <v>13.3</v>
      </c>
      <c r="O296" t="s">
        <v>22</v>
      </c>
      <c r="P296" t="str">
        <f>IF(I296&gt;H296,"Late","On Time")</f>
        <v>On Time</v>
      </c>
      <c r="Q296">
        <f>MAX(0,I296-H296)</f>
        <v>0</v>
      </c>
      <c r="R296" t="str">
        <f t="shared" si="16"/>
        <v>High</v>
      </c>
      <c r="S296" t="str">
        <f t="shared" si="17"/>
        <v>Completed</v>
      </c>
      <c r="T296">
        <f t="shared" si="18"/>
        <v>3310.75</v>
      </c>
      <c r="U296">
        <f t="shared" si="19"/>
        <v>0</v>
      </c>
    </row>
    <row r="297" spans="1:21">
      <c r="A297" t="s">
        <v>334</v>
      </c>
      <c r="B297" s="2">
        <v>46270</v>
      </c>
      <c r="C297" t="s">
        <v>24</v>
      </c>
      <c r="D297" t="s">
        <v>29</v>
      </c>
      <c r="E297">
        <v>22</v>
      </c>
      <c r="F297" s="3">
        <v>2892</v>
      </c>
      <c r="G297" s="4">
        <v>25</v>
      </c>
      <c r="H297">
        <v>2</v>
      </c>
      <c r="I297">
        <v>1</v>
      </c>
      <c r="J297" t="s">
        <v>26</v>
      </c>
      <c r="K297">
        <v>5</v>
      </c>
      <c r="L297" t="s">
        <v>21</v>
      </c>
      <c r="M297" t="s">
        <v>21</v>
      </c>
      <c r="N297" s="5">
        <v>25.1</v>
      </c>
      <c r="O297" t="s">
        <v>27</v>
      </c>
      <c r="P297" t="str">
        <f>IF(I297&gt;H297,"Late","On Time")</f>
        <v>On Time</v>
      </c>
      <c r="Q297">
        <f>MAX(0,I297-H297)</f>
        <v>0</v>
      </c>
      <c r="R297" t="str">
        <f t="shared" si="16"/>
        <v>High</v>
      </c>
      <c r="S297" t="str">
        <f t="shared" si="17"/>
        <v>Completed</v>
      </c>
      <c r="T297">
        <f t="shared" si="18"/>
        <v>2169</v>
      </c>
      <c r="U297">
        <f t="shared" si="19"/>
        <v>0</v>
      </c>
    </row>
    <row r="298" spans="1:21">
      <c r="A298" t="s">
        <v>335</v>
      </c>
      <c r="B298" s="2">
        <v>46277</v>
      </c>
      <c r="C298" t="s">
        <v>35</v>
      </c>
      <c r="D298" t="s">
        <v>47</v>
      </c>
      <c r="E298">
        <v>52</v>
      </c>
      <c r="F298" s="3">
        <v>304</v>
      </c>
      <c r="G298" s="4">
        <v>10</v>
      </c>
      <c r="H298">
        <v>2</v>
      </c>
      <c r="I298">
        <v>2</v>
      </c>
      <c r="J298" t="s">
        <v>26</v>
      </c>
      <c r="K298">
        <v>4</v>
      </c>
      <c r="L298" t="s">
        <v>21</v>
      </c>
      <c r="M298" t="s">
        <v>21</v>
      </c>
      <c r="N298" s="5">
        <v>7.4</v>
      </c>
      <c r="O298" t="s">
        <v>27</v>
      </c>
      <c r="P298" t="str">
        <f>IF(I298&gt;H298,"Late","On Time")</f>
        <v>On Time</v>
      </c>
      <c r="Q298">
        <f>MAX(0,I298-H298)</f>
        <v>0</v>
      </c>
      <c r="R298" t="str">
        <f t="shared" si="16"/>
        <v>High</v>
      </c>
      <c r="S298" t="str">
        <f t="shared" si="17"/>
        <v>Completed</v>
      </c>
      <c r="T298">
        <f t="shared" si="18"/>
        <v>273.60000000000002</v>
      </c>
      <c r="U298">
        <f t="shared" si="19"/>
        <v>0</v>
      </c>
    </row>
    <row r="299" spans="1:21">
      <c r="A299" t="s">
        <v>336</v>
      </c>
      <c r="B299" s="2">
        <v>46249</v>
      </c>
      <c r="C299" t="s">
        <v>24</v>
      </c>
      <c r="D299" t="s">
        <v>38</v>
      </c>
      <c r="E299">
        <v>28</v>
      </c>
      <c r="F299" s="3">
        <v>2071</v>
      </c>
      <c r="G299" s="4">
        <v>20</v>
      </c>
      <c r="H299">
        <v>3</v>
      </c>
      <c r="I299">
        <v>4</v>
      </c>
      <c r="J299" t="s">
        <v>39</v>
      </c>
      <c r="K299">
        <v>4</v>
      </c>
      <c r="L299" t="s">
        <v>21</v>
      </c>
      <c r="M299" t="s">
        <v>21</v>
      </c>
      <c r="N299" s="5">
        <v>13.3</v>
      </c>
      <c r="O299" t="s">
        <v>27</v>
      </c>
      <c r="P299" t="str">
        <f>IF(I299&gt;H299,"Late","On Time")</f>
        <v>Late</v>
      </c>
      <c r="Q299">
        <f>MAX(0,I299-H299)</f>
        <v>1</v>
      </c>
      <c r="R299" t="str">
        <f t="shared" si="16"/>
        <v>High</v>
      </c>
      <c r="S299" t="str">
        <f t="shared" si="17"/>
        <v>Completed</v>
      </c>
      <c r="T299">
        <f t="shared" si="18"/>
        <v>1656.8000000000002</v>
      </c>
      <c r="U299">
        <f t="shared" si="19"/>
        <v>1</v>
      </c>
    </row>
    <row r="300" spans="1:21">
      <c r="A300" t="s">
        <v>337</v>
      </c>
      <c r="B300" s="2">
        <v>46282</v>
      </c>
      <c r="C300" t="s">
        <v>18</v>
      </c>
      <c r="D300" t="s">
        <v>29</v>
      </c>
      <c r="E300">
        <v>41</v>
      </c>
      <c r="F300" s="3">
        <v>4572</v>
      </c>
      <c r="G300" s="4">
        <v>20</v>
      </c>
      <c r="H300">
        <v>3</v>
      </c>
      <c r="I300">
        <v>2</v>
      </c>
      <c r="J300" t="s">
        <v>30</v>
      </c>
      <c r="K300">
        <v>4</v>
      </c>
      <c r="L300" t="s">
        <v>21</v>
      </c>
      <c r="M300" t="s">
        <v>21</v>
      </c>
      <c r="N300" s="5">
        <v>11.8</v>
      </c>
      <c r="O300" t="s">
        <v>59</v>
      </c>
      <c r="P300" t="str">
        <f>IF(I300&gt;H300,"Late","On Time")</f>
        <v>On Time</v>
      </c>
      <c r="Q300">
        <f>MAX(0,I300-H300)</f>
        <v>0</v>
      </c>
      <c r="R300" t="str">
        <f t="shared" si="16"/>
        <v>High</v>
      </c>
      <c r="S300" t="str">
        <f t="shared" si="17"/>
        <v>Completed</v>
      </c>
      <c r="T300">
        <f t="shared" si="18"/>
        <v>3657.6000000000004</v>
      </c>
      <c r="U300">
        <f t="shared" si="19"/>
        <v>0</v>
      </c>
    </row>
    <row r="301" spans="1:21">
      <c r="A301" t="s">
        <v>338</v>
      </c>
      <c r="B301" s="2">
        <v>46268</v>
      </c>
      <c r="C301" t="s">
        <v>35</v>
      </c>
      <c r="D301" t="s">
        <v>47</v>
      </c>
      <c r="E301">
        <v>52</v>
      </c>
      <c r="F301" s="3">
        <v>1417</v>
      </c>
      <c r="G301" s="4">
        <v>20</v>
      </c>
      <c r="H301">
        <v>2</v>
      </c>
      <c r="I301">
        <v>3</v>
      </c>
      <c r="J301" t="s">
        <v>33</v>
      </c>
      <c r="K301">
        <v>4</v>
      </c>
      <c r="L301" t="s">
        <v>21</v>
      </c>
      <c r="M301" t="s">
        <v>21</v>
      </c>
      <c r="N301" s="5">
        <v>11.5</v>
      </c>
      <c r="O301" t="s">
        <v>27</v>
      </c>
      <c r="P301" t="str">
        <f>IF(I301&gt;H301,"Late","On Time")</f>
        <v>Late</v>
      </c>
      <c r="Q301">
        <f>MAX(0,I301-H301)</f>
        <v>1</v>
      </c>
      <c r="R301" t="str">
        <f t="shared" si="16"/>
        <v>High</v>
      </c>
      <c r="S301" t="str">
        <f t="shared" si="17"/>
        <v>Completed</v>
      </c>
      <c r="T301">
        <f t="shared" si="18"/>
        <v>1133.6000000000001</v>
      </c>
      <c r="U301">
        <f t="shared" si="19"/>
        <v>1</v>
      </c>
    </row>
  </sheetData>
  <conditionalFormatting sqref="K2:K30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301">
    <cfRule type="dataBar" priority="10">
      <dataBar>
        <cfvo type="min"/>
        <cfvo type="max"/>
        <color rgb="FF0F9ED5"/>
      </dataBar>
    </cfRule>
  </conditionalFormatting>
  <conditionalFormatting sqref="I2:I301">
    <cfRule type="dataBar" priority="11">
      <dataBar>
        <cfvo type="min"/>
        <cfvo type="max"/>
        <color rgb="FF0F9ED5"/>
      </dataBar>
      <extLst>
        <ext xmlns:x14="http://schemas.microsoft.com/office/spreadsheetml/2009/9/main" uri="{B025F937-C7B1-47D3-B67F-A62EFF666E3E}">
          <x14:id>{356BEFD7-0FC8-4186-90CC-6EB110FAB294}</x14:id>
        </ext>
      </extLst>
    </cfRule>
  </conditionalFormatting>
  <conditionalFormatting sqref="K2:K301">
    <cfRule type="colorScale" priority="8">
      <colorScale>
        <cfvo type="min"/>
        <cfvo type="max"/>
        <color rgb="FFFCFCFF"/>
        <color rgb="FFF8696B"/>
      </colorScale>
    </cfRule>
  </conditionalFormatting>
  <conditionalFormatting sqref="K2:K30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301">
    <cfRule type="colorScale" priority="6">
      <colorScale>
        <cfvo type="min"/>
        <cfvo type="max"/>
        <color rgb="FFF8696B"/>
        <color rgb="FFFCFCFF"/>
      </colorScale>
    </cfRule>
  </conditionalFormatting>
  <conditionalFormatting sqref="M2:M301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M1:M1048576">
    <cfRule type="colorScale" priority="4">
      <colorScale>
        <cfvo type="min"/>
        <cfvo type="max"/>
        <color rgb="FFF8696B"/>
        <color rgb="FFFCFCFF"/>
      </colorScale>
    </cfRule>
  </conditionalFormatting>
  <conditionalFormatting sqref="M2:M301">
    <cfRule type="colorScale" priority="3">
      <colorScale>
        <cfvo type="min"/>
        <cfvo type="max"/>
        <color rgb="FFF8696B"/>
        <color rgb="FFFCFCFF"/>
      </colorScale>
    </cfRule>
  </conditionalFormatting>
  <conditionalFormatting sqref="M2:M301">
    <cfRule type="containsText" dxfId="10" priority="2" stopIfTrue="1" operator="containsText" text="Yes">
      <formula>NOT(ISERROR(SEARCH("Yes",M2)))</formula>
    </cfRule>
  </conditionalFormatting>
  <conditionalFormatting sqref="S1:S1048576">
    <cfRule type="containsText" dxfId="9" priority="1" operator="containsText" text="Completed">
      <formula>NOT(ISERROR(SEARCH("Completed",S1)))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6BEFD7-0FC8-4186-90CC-6EB110FAB294}">
            <x14:dataBar>
              <x14:cfvo type="min"/>
              <x14:cfvo type="max"/>
              <x14:negativeFillColor auto="1"/>
              <x14:axisColor auto="1"/>
            </x14:dataBar>
          </x14:cfRule>
          <xm:sqref>I2:I301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0ACB1-1298-40B5-802E-61D71803856F}">
  <sheetPr>
    <tabColor rgb="FF0070C0"/>
  </sheetPr>
  <dimension ref="A1:L23"/>
  <sheetViews>
    <sheetView topLeftCell="A38" workbookViewId="0">
      <selection activeCell="H13" sqref="H13:K20"/>
    </sheetView>
  </sheetViews>
  <sheetFormatPr defaultRowHeight="14.25"/>
  <cols>
    <col min="1" max="1" width="33.125" customWidth="1"/>
    <col min="2" max="2" width="16.5" customWidth="1"/>
    <col min="4" max="4" width="17" customWidth="1"/>
    <col min="5" max="5" width="19" customWidth="1"/>
    <col min="9" max="9" width="13.875" customWidth="1"/>
    <col min="10" max="10" width="12.125" customWidth="1"/>
  </cols>
  <sheetData>
    <row r="1" spans="1:12" ht="15">
      <c r="A1" s="11" t="s">
        <v>365</v>
      </c>
    </row>
    <row r="3" spans="1:12" ht="15">
      <c r="A3" s="11" t="s">
        <v>366</v>
      </c>
      <c r="B3" s="11" t="s">
        <v>367</v>
      </c>
    </row>
    <row r="4" spans="1:12">
      <c r="A4" t="s">
        <v>368</v>
      </c>
      <c r="B4">
        <f>COUNTA('Cleaned Data'!A2:A301)</f>
        <v>300</v>
      </c>
    </row>
    <row r="5" spans="1:12">
      <c r="A5" t="s">
        <v>369</v>
      </c>
      <c r="B5">
        <f>SUM('Cleaned Data'!T2:T301)</f>
        <v>582305.50000000012</v>
      </c>
    </row>
    <row r="6" spans="1:12">
      <c r="A6" t="s">
        <v>370</v>
      </c>
      <c r="B6" s="10">
        <f>AVERAGE('Cleaned Data'!K2:K301)</f>
        <v>4.0966666666666667</v>
      </c>
    </row>
    <row r="7" spans="1:12">
      <c r="A7" t="s">
        <v>371</v>
      </c>
      <c r="B7" s="10">
        <f>AVERAGE('Cleaned Data'!U2:U301)</f>
        <v>0.35333333333333333</v>
      </c>
    </row>
    <row r="8" spans="1:12">
      <c r="A8" t="s">
        <v>372</v>
      </c>
      <c r="B8" s="10">
        <f>COUNTIF('Cleaned Data'!L2:L301,"Yes")/B4</f>
        <v>2.6666666666666668E-2</v>
      </c>
    </row>
    <row r="9" spans="1:12">
      <c r="A9" t="s">
        <v>373</v>
      </c>
      <c r="B9" s="10">
        <f>COUNTIF('Cleaned Data'!M2:M301,"Yes")/B4</f>
        <v>0.03</v>
      </c>
    </row>
    <row r="10" spans="1:12">
      <c r="A10" t="s">
        <v>374</v>
      </c>
      <c r="B10">
        <f>AVERAGE('Cleaned Data'!I2:I301)</f>
        <v>2.9766666666666666</v>
      </c>
    </row>
    <row r="12" spans="1:12" ht="15">
      <c r="H12" s="18"/>
      <c r="I12" s="18"/>
      <c r="J12" s="18"/>
      <c r="K12" s="18"/>
    </row>
    <row r="13" spans="1:12" ht="33">
      <c r="A13" s="15" t="s">
        <v>375</v>
      </c>
      <c r="B13" s="15" t="s">
        <v>376</v>
      </c>
      <c r="C13" s="15" t="s">
        <v>363</v>
      </c>
      <c r="D13" s="16" t="s">
        <v>377</v>
      </c>
      <c r="E13" s="22" t="s">
        <v>374</v>
      </c>
      <c r="F13" s="16" t="s">
        <v>378</v>
      </c>
      <c r="G13" s="17"/>
      <c r="H13" s="19" t="s">
        <v>5</v>
      </c>
      <c r="I13" s="21" t="s">
        <v>379</v>
      </c>
      <c r="J13" s="19" t="s">
        <v>380</v>
      </c>
      <c r="K13" s="19" t="s">
        <v>378</v>
      </c>
      <c r="L13" s="17"/>
    </row>
    <row r="14" spans="1:12">
      <c r="A14" t="s">
        <v>18</v>
      </c>
      <c r="B14">
        <f>COUNTIF('Cleaned Data'!C$2:C$301,A14)</f>
        <v>60</v>
      </c>
      <c r="C14">
        <f>SUMIF('Cleaned Data'!C$2:C$301,A14,'Cleaned Data'!T$2:T$301)</f>
        <v>233466.8</v>
      </c>
      <c r="D14">
        <f>AVERAGEIF('Cleaned Data'!C$2:C$301,A14,'Cleaned Data'!K$2:K$301)</f>
        <v>3.95</v>
      </c>
      <c r="E14">
        <f>AVERAGEIF('Cleaned Data'!C$2:C$301,A14,'Cleaned Data'!I$2:I$301)</f>
        <v>3.4666666666666668</v>
      </c>
      <c r="F14" s="10">
        <f>AVERAGEIF('Cleaned Data'!C$2:C$301,A14,'Cleaned Data'!U$2:U$301)</f>
        <v>0.4</v>
      </c>
      <c r="G14" s="17"/>
      <c r="H14" s="20" t="s">
        <v>19</v>
      </c>
      <c r="I14" s="20">
        <f>AVERAGEIF('Cleaned Data'!D$2:D$301,H14,'Cleaned Data'!I$2:I$301)</f>
        <v>2.8536585365853657</v>
      </c>
      <c r="J14" s="20">
        <f>AVERAGEIF('Cleaned Data'!D$2:D$301,H14,'Cleaned Data'!K$2:K$301)</f>
        <v>4.1463414634146343</v>
      </c>
      <c r="K14" s="24">
        <f>AVERAGEIF('Cleaned Data'!D$2:D$301,H14,'Cleaned Data'!U$2:U$301)</f>
        <v>0.36585365853658536</v>
      </c>
      <c r="L14" s="17"/>
    </row>
    <row r="15" spans="1:12">
      <c r="A15" t="s">
        <v>24</v>
      </c>
      <c r="B15">
        <f>COUNTIF('Cleaned Data'!C$2:C$301,A15)</f>
        <v>57</v>
      </c>
      <c r="C15">
        <f>SUMIF('Cleaned Data'!C$2:C$301,A15,'Cleaned Data'!T$2:T$301)</f>
        <v>84588.349999999991</v>
      </c>
      <c r="D15">
        <f>AVERAGEIF('Cleaned Data'!C$2:C$301,A15,'Cleaned Data'!K$2:K$301)</f>
        <v>4.1052631578947372</v>
      </c>
      <c r="E15">
        <f>AVERAGEIF('Cleaned Data'!C$2:C$301,A15,'Cleaned Data'!I$2:I$301)</f>
        <v>3.4035087719298245</v>
      </c>
      <c r="F15" s="10">
        <f>AVERAGEIF('Cleaned Data'!C$2:C$301,A15,'Cleaned Data'!U$2:U$301)</f>
        <v>0.33333333333333331</v>
      </c>
      <c r="G15" s="17"/>
      <c r="H15" s="20" t="s">
        <v>36</v>
      </c>
      <c r="I15" s="20">
        <f>AVERAGEIF('Cleaned Data'!D$2:D$301,H15,'Cleaned Data'!I$2:I$301)</f>
        <v>2.9428571428571431</v>
      </c>
      <c r="J15" s="20">
        <f>AVERAGEIF('Cleaned Data'!D$2:D$301,H15,'Cleaned Data'!K$2:K$301)</f>
        <v>3.9714285714285715</v>
      </c>
      <c r="K15" s="24">
        <f>AVERAGEIF('Cleaned Data'!D$2:D$301,H15,'Cleaned Data'!U$2:U$301)</f>
        <v>0.37142857142857144</v>
      </c>
      <c r="L15" s="17"/>
    </row>
    <row r="16" spans="1:12">
      <c r="A16" t="s">
        <v>35</v>
      </c>
      <c r="B16">
        <f>COUNTIF('Cleaned Data'!C$2:C$301,A16)</f>
        <v>66</v>
      </c>
      <c r="C16">
        <f>SUMIF('Cleaned Data'!C$2:C$301,A16,'Cleaned Data'!T$2:T$301)</f>
        <v>52729.85</v>
      </c>
      <c r="D16">
        <f>AVERAGEIF('Cleaned Data'!C$2:C$301,A16,'Cleaned Data'!K$2:K$301)</f>
        <v>4.2272727272727275</v>
      </c>
      <c r="E16">
        <f>AVERAGEIF('Cleaned Data'!C$2:C$301,A16,'Cleaned Data'!I$2:I$301)</f>
        <v>2.3181818181818183</v>
      </c>
      <c r="F16" s="10">
        <f>AVERAGEIF('Cleaned Data'!C$2:C$301,A16,'Cleaned Data'!U$2:U$301)</f>
        <v>0.33333333333333331</v>
      </c>
      <c r="G16" s="17"/>
      <c r="H16" s="20" t="s">
        <v>29</v>
      </c>
      <c r="I16" s="20">
        <f>AVERAGEIF('Cleaned Data'!D$2:D$301,H16,'Cleaned Data'!I$2:I$301)</f>
        <v>3.2653061224489797</v>
      </c>
      <c r="J16" s="20">
        <f>AVERAGEIF('Cleaned Data'!D$2:D$301,H16,'Cleaned Data'!K$2:K$301)</f>
        <v>4.0612244897959187</v>
      </c>
      <c r="K16" s="24">
        <f>AVERAGEIF('Cleaned Data'!D$2:D$301,H16,'Cleaned Data'!U$2:U$301)</f>
        <v>0.42857142857142855</v>
      </c>
      <c r="L16" s="17"/>
    </row>
    <row r="17" spans="1:12">
      <c r="A17" t="s">
        <v>41</v>
      </c>
      <c r="B17">
        <f>COUNTIF('Cleaned Data'!C$2:C$301,A17)</f>
        <v>59</v>
      </c>
      <c r="C17">
        <f>SUMIF('Cleaned Data'!C$2:C$301,A17,'Cleaned Data'!T$2:T$301)</f>
        <v>137168.95000000001</v>
      </c>
      <c r="D17">
        <f>AVERAGEIF('Cleaned Data'!C$2:C$301,A17,'Cleaned Data'!K$2:K$301)</f>
        <v>4.0338983050847457</v>
      </c>
      <c r="E17">
        <f>AVERAGEIF('Cleaned Data'!C$2:C$301,A17,'Cleaned Data'!I$2:I$301)</f>
        <v>3.4237288135593222</v>
      </c>
      <c r="F17" s="10">
        <f>AVERAGEIF('Cleaned Data'!C$2:C$301,A17,'Cleaned Data'!U$2:U$301)</f>
        <v>0.3728813559322034</v>
      </c>
      <c r="G17" s="17"/>
      <c r="H17" s="20" t="s">
        <v>25</v>
      </c>
      <c r="I17" s="20">
        <f>AVERAGEIF('Cleaned Data'!D$2:D$301,H17,'Cleaned Data'!I$2:I$301)</f>
        <v>3</v>
      </c>
      <c r="J17" s="20">
        <f>AVERAGEIF('Cleaned Data'!D$2:D$301,H17,'Cleaned Data'!K$2:K$301)</f>
        <v>3.8863636363636362</v>
      </c>
      <c r="K17" s="24">
        <f>AVERAGEIF('Cleaned Data'!D$2:D$301,H17,'Cleaned Data'!U$2:U$301)</f>
        <v>0.34090909090909088</v>
      </c>
      <c r="L17" s="17"/>
    </row>
    <row r="18" spans="1:12">
      <c r="A18" t="s">
        <v>55</v>
      </c>
      <c r="B18">
        <f>COUNTIF('Cleaned Data'!C$2:C$301,A18)</f>
        <v>58</v>
      </c>
      <c r="C18">
        <f>SUMIF('Cleaned Data'!C$2:C$301,A18,'Cleaned Data'!T$2:T$301)</f>
        <v>74351.55</v>
      </c>
      <c r="D18">
        <f>AVERAGEIF('Cleaned Data'!C$2:C$301,A18,'Cleaned Data'!K$2:K$301)</f>
        <v>4.1551724137931032</v>
      </c>
      <c r="E18">
        <f>AVERAGEIF('Cleaned Data'!C$2:C$301,A18,'Cleaned Data'!I$2:I$301)</f>
        <v>2.3448275862068964</v>
      </c>
      <c r="F18" s="10">
        <f>AVERAGEIF('Cleaned Data'!C$2:C$301,A18,'Cleaned Data'!U$2:U$301)</f>
        <v>0.32758620689655171</v>
      </c>
      <c r="G18" s="17"/>
      <c r="H18" s="20" t="s">
        <v>47</v>
      </c>
      <c r="I18" s="20">
        <f>AVERAGEIF('Cleaned Data'!D$2:D$301,H18,'Cleaned Data'!I$2:I$301)</f>
        <v>3.1</v>
      </c>
      <c r="J18" s="20">
        <f>AVERAGEIF('Cleaned Data'!D$2:D$301,H18,'Cleaned Data'!K$2:K$301)</f>
        <v>4.1500000000000004</v>
      </c>
      <c r="K18" s="24">
        <f>AVERAGEIF('Cleaned Data'!D$2:D$301,H18,'Cleaned Data'!U$2:U$301)</f>
        <v>0.35</v>
      </c>
      <c r="L18" s="17"/>
    </row>
    <row r="19" spans="1:12">
      <c r="G19" s="17"/>
      <c r="H19" s="20" t="s">
        <v>32</v>
      </c>
      <c r="I19" s="20">
        <f>AVERAGEIF('Cleaned Data'!D$2:D$301,H19,'Cleaned Data'!I$2:I$301)</f>
        <v>2.6857142857142855</v>
      </c>
      <c r="J19" s="20">
        <f>AVERAGEIF('Cleaned Data'!D$2:D$301,H19,'Cleaned Data'!K$2:K$301)</f>
        <v>4.3142857142857141</v>
      </c>
      <c r="K19" s="24">
        <f>AVERAGEIF('Cleaned Data'!D$2:D$301,H19,'Cleaned Data'!U$2:U$301)</f>
        <v>0.22857142857142856</v>
      </c>
      <c r="L19" s="17"/>
    </row>
    <row r="20" spans="1:12">
      <c r="G20" s="17"/>
      <c r="H20" s="20" t="s">
        <v>38</v>
      </c>
      <c r="I20" s="20">
        <f>AVERAGEIF('Cleaned Data'!D$2:D$301,H20,'Cleaned Data'!I$2:I$301)</f>
        <v>2.9107142857142856</v>
      </c>
      <c r="J20" s="20">
        <f>AVERAGEIF('Cleaned Data'!D$2:D$301,H20,'Cleaned Data'!K$2:K$301)</f>
        <v>4.1607142857142856</v>
      </c>
      <c r="K20" s="24">
        <f>AVERAGEIF('Cleaned Data'!D$2:D$301,H20,'Cleaned Data'!U$2:U$301)</f>
        <v>0.35714285714285715</v>
      </c>
      <c r="L20" s="17"/>
    </row>
    <row r="21" spans="1:12" ht="15">
      <c r="A21" s="11" t="s">
        <v>359</v>
      </c>
      <c r="B21" s="11" t="s">
        <v>370</v>
      </c>
      <c r="H21" s="17"/>
      <c r="I21" s="17"/>
      <c r="J21" s="17"/>
      <c r="K21" s="17"/>
    </row>
    <row r="22" spans="1:12">
      <c r="A22" t="s">
        <v>381</v>
      </c>
      <c r="B22" s="23">
        <f>AVERAGEIF('Cleaned Data'!P$2:P$301,A22,'Cleaned Data'!K$2:K$301)</f>
        <v>4.4896907216494846</v>
      </c>
    </row>
    <row r="23" spans="1:12">
      <c r="A23" t="s">
        <v>382</v>
      </c>
      <c r="B23" s="23">
        <f>AVERAGEIF('Cleaned Data'!P$2:P$301,A23,'Cleaned Data'!K$2:K$301)</f>
        <v>3.3773584905660377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589C-A4F0-41C6-9158-A2CC0BCD5E14}">
  <sheetPr>
    <tabColor rgb="FFC00000"/>
    <pageSetUpPr fitToPage="1"/>
  </sheetPr>
  <dimension ref="A1:G2"/>
  <sheetViews>
    <sheetView tabSelected="1" workbookViewId="0">
      <selection sqref="A1:F2"/>
    </sheetView>
  </sheetViews>
  <sheetFormatPr defaultRowHeight="14.25"/>
  <cols>
    <col min="1" max="1" width="16.75" bestFit="1" customWidth="1"/>
    <col min="2" max="2" width="12.75" bestFit="1" customWidth="1"/>
    <col min="3" max="3" width="16.5" bestFit="1" customWidth="1"/>
    <col min="4" max="4" width="19.25" bestFit="1" customWidth="1"/>
    <col min="5" max="5" width="17.75" bestFit="1" customWidth="1"/>
    <col min="6" max="6" width="18" bestFit="1" customWidth="1"/>
  </cols>
  <sheetData>
    <row r="1" spans="1:7">
      <c r="A1" s="25" t="s">
        <v>383</v>
      </c>
      <c r="B1" s="25" t="s">
        <v>384</v>
      </c>
      <c r="C1" s="27" t="s">
        <v>385</v>
      </c>
      <c r="D1" s="25" t="s">
        <v>386</v>
      </c>
      <c r="E1" s="28" t="s">
        <v>387</v>
      </c>
      <c r="F1" s="27" t="s">
        <v>388</v>
      </c>
      <c r="G1" s="26"/>
    </row>
    <row r="2" spans="1:7">
      <c r="A2">
        <f>Analysis!B4</f>
        <v>300</v>
      </c>
      <c r="B2">
        <f>Analysis!B5</f>
        <v>582305.50000000012</v>
      </c>
      <c r="C2" s="10">
        <f>Analysis!B6</f>
        <v>4.0966666666666667</v>
      </c>
      <c r="D2" s="10">
        <f>Analysis!B7</f>
        <v>0.35333333333333333</v>
      </c>
      <c r="E2" s="10">
        <f>Analysis!B8</f>
        <v>2.6666666666666668E-2</v>
      </c>
      <c r="F2" s="10">
        <f>Analysis!B9</f>
        <v>0.03</v>
      </c>
    </row>
  </sheetData>
  <pageMargins left="0.7" right="0.7" top="0.75" bottom="0.75" header="0.3" footer="0.3"/>
  <pageSetup paperSize="9" fitToHeight="0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2026-09-22T08:13:45Z</dcterms:created>
  <dcterms:modified xsi:type="dcterms:W3CDTF">2026-09-23T21:43:45Z</dcterms:modified>
  <cp:category/>
  <cp:contentStatus/>
</cp:coreProperties>
</file>